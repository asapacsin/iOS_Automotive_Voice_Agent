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清单" sheetId="2" state="visible" r:id="rId2"/>
  </sheets>
  <definedNames>
    <definedName name="_xlnm._FilterDatabase" localSheetId="1" hidden="1">'测试清单'!$A$1:$L$14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NovaDrive 真机测试清单</t>
        </is>
      </c>
      <c r="B1" s="2" t="n"/>
    </row>
    <row r="2">
      <c r="A2" s="3" t="inlineStr">
        <is>
          <t>手机上的版本</t>
        </is>
      </c>
      <c r="B2" s="2" t="inlineStr">
        <is>
          <t>a8aa080（2026-10-27 安装，自动检查 PASS）</t>
        </is>
      </c>
    </row>
    <row r="3">
      <c r="A3" s="3" t="inlineStr">
        <is>
          <t>怎么填</t>
        </is>
      </c>
      <c r="B3" s="2" t="inlineStr">
        <is>
          <t>只填「测试清单」页黄色的列：结果（下拉选）、出现的失败 / 现象、备注、日期</t>
        </is>
      </c>
    </row>
    <row r="4">
      <c r="A4" s="3" t="inlineStr">
        <is>
          <t>结果怎么选</t>
        </is>
      </c>
      <c r="B4" s="2" t="inlineStr">
        <is>
          <t>全部符合「预期」→ PASS；出现「可能的失败情况」或其他异常 → FAIL，并在「出现的失败」写看到了什么</t>
        </is>
      </c>
    </row>
    <row r="5">
      <c r="A5" s="3" t="inlineStr">
        <is>
          <t>示例（FAIL）</t>
        </is>
      </c>
      <c r="B5" s="2" t="inlineStr">
        <is>
          <t>#13 结果 FAIL；出现的失败：温度降了 2 次；备注：停声约 400 ms（录屏 12:03）</t>
        </is>
      </c>
    </row>
    <row r="6">
      <c r="A6" s="3" t="inlineStr">
        <is>
          <t>「版本」=新版本 的行</t>
        </is>
      </c>
      <c r="B6" s="2" t="inlineStr">
        <is>
          <t>当前版本缺修复，可试跑记现象，但不要标 PASS（选 NOT_VERIFIED）</t>
        </is>
      </c>
    </row>
    <row r="7">
      <c r="A7" s="3" t="inlineStr">
        <is>
          <t>安全</t>
        </is>
      </c>
      <c r="B7" s="2" t="inlineStr">
        <is>
          <t>开车时司机只说话不碰屏幕；标「行驶」的行由乘客操作和记录</t>
        </is>
      </c>
    </row>
    <row r="8">
      <c r="A8" s="3" t="inlineStr"/>
      <c r="B8" s="2" t="n"/>
    </row>
    <row r="9">
      <c r="A9" s="4" t="inlineStr">
        <is>
          <t>统计</t>
        </is>
      </c>
      <c r="B9" s="2" t="n"/>
    </row>
    <row r="10">
      <c r="A10" s="3" t="inlineStr">
        <is>
          <t>总行数</t>
        </is>
      </c>
      <c r="B10" s="2">
        <f>COUNTA('测试清单'!A2:A14)</f>
        <v/>
      </c>
    </row>
    <row r="11">
      <c r="A11" s="3" t="inlineStr">
        <is>
          <t>PASS</t>
        </is>
      </c>
      <c r="B11" s="2">
        <f>COUNTIF('测试清单'!I2:I14,"PASS")</f>
        <v/>
      </c>
    </row>
    <row r="12">
      <c r="A12" s="3" t="inlineStr">
        <is>
          <t>FAIL</t>
        </is>
      </c>
      <c r="B12" s="2">
        <f>COUNTIF('测试清单'!I2:I14,"FAIL")</f>
        <v/>
      </c>
    </row>
    <row r="13">
      <c r="A13" s="3" t="inlineStr">
        <is>
          <t>NOT_VERIFIED</t>
        </is>
      </c>
      <c r="B13" s="2">
        <f>COUNTIF('测试清单'!I2:I14,"NOT_VERIFIED")</f>
        <v/>
      </c>
    </row>
    <row r="14">
      <c r="A14" s="3" t="inlineStr">
        <is>
          <t>BLOCKED</t>
        </is>
      </c>
      <c r="B14" s="2">
        <f>COUNTIF('测试清单'!I2:I14,"BLOCKED")</f>
        <v/>
      </c>
    </row>
    <row r="15">
      <c r="A15" s="3" t="inlineStr">
        <is>
          <t>未填</t>
        </is>
      </c>
      <c r="B15" s="2">
        <f>B10-B11-B12-B13-B14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20" customWidth="1" min="4" max="4"/>
    <col width="40" customWidth="1" min="5" max="5"/>
    <col width="40" customWidth="1" min="6" max="6"/>
    <col width="34" customWidth="1" min="7" max="7"/>
    <col width="9" customWidth="1" min="8" max="8"/>
    <col width="14" customWidth="1" min="9" max="9"/>
    <col width="30" customWidth="1" min="10" max="10"/>
    <col width="24" customWidth="1" min="11" max="11"/>
    <col width="12" customWidth="1" min="12" max="12"/>
  </cols>
  <sheetData>
    <row r="1">
      <c r="A1" s="5" t="inlineStr">
        <is>
          <t>#</t>
        </is>
      </c>
      <c r="B1" s="5" t="inlineStr">
        <is>
          <t>分组</t>
        </is>
      </c>
      <c r="C1" s="5" t="inlineStr">
        <is>
          <t>Spec 行</t>
        </is>
      </c>
      <c r="D1" s="5" t="inlineStr">
        <is>
          <t>前置 / 地点</t>
        </is>
      </c>
      <c r="E1" s="5" t="inlineStr">
        <is>
          <t>步骤</t>
        </is>
      </c>
      <c r="F1" s="5" t="inlineStr">
        <is>
          <t>预期（通过标准）</t>
        </is>
      </c>
      <c r="G1" s="5" t="inlineStr">
        <is>
          <t>可能的失败情况</t>
        </is>
      </c>
      <c r="H1" s="5" t="inlineStr">
        <is>
          <t>版本</t>
        </is>
      </c>
      <c r="I1" s="5" t="inlineStr">
        <is>
          <t>结果</t>
        </is>
      </c>
      <c r="J1" s="5" t="inlineStr">
        <is>
          <t>出现的失败 / 现象</t>
        </is>
      </c>
      <c r="K1" s="5" t="inlineStr">
        <is>
          <t>备注（数字、时间）</t>
        </is>
      </c>
      <c r="L1" s="5" t="inlineStr">
        <is>
          <t>测试日期</t>
        </is>
      </c>
    </row>
    <row r="2">
      <c r="A2" s="6" t="n">
        <v>2</v>
      </c>
      <c r="B2" s="6" t="inlineStr">
        <is>
          <t>1. 准备</t>
        </is>
      </c>
      <c r="C2" s="6" t="inlineStr">
        <is>
          <t>H-keys</t>
        </is>
      </c>
      <c r="D2" s="6" t="inlineStr">
        <is>
          <t>停车；设置页（不要录屏）</t>
        </is>
      </c>
      <c r="E2" s="6" t="inlineStr">
        <is>
          <t>设置 → 「状态」区确认 Gemini key、Gemini 同意、Azure key + 声音、高德 Web key、讯飞 APPID/APIKey/APISecret 都是 已保存</t>
        </is>
      </c>
      <c r="F2" s="6" t="inlineStr">
        <is>
          <t>每项显示 已保存（不显示 key 内容）</t>
        </is>
      </c>
      <c r="G2" s="6" t="inlineStr">
        <is>
          <t>某项显示 未保存；页面上露出 key 原文</t>
        </is>
      </c>
      <c r="H2" s="6" t="inlineStr">
        <is>
          <t>a8aa080</t>
        </is>
      </c>
      <c r="I2" s="7" t="inlineStr"/>
      <c r="J2" s="7" t="inlineStr"/>
      <c r="K2" s="7" t="inlineStr"/>
      <c r="L2" s="7" t="inlineStr"/>
    </row>
    <row r="3">
      <c r="A3" s="6" t="n">
        <v>9</v>
      </c>
      <c r="B3" s="6" t="inlineStr">
        <is>
          <t>2. 权限</t>
        </is>
      </c>
      <c r="C3" s="6" t="inlineStr">
        <is>
          <t>F-16a §10 #4</t>
        </is>
      </c>
      <c r="D3" s="6" t="inlineStr">
        <is>
          <t>停车</t>
        </is>
      </c>
      <c r="E3" s="6" t="inlineStr">
        <is>
          <t>位置来源 选 演示起点 → 问「我现在在哪？」；之后切回 手机定位</t>
        </is>
      </c>
      <c r="F3" s="6" t="inlineStr">
        <is>
          <t>驾驶页顶部出现 演示位置；回答提到「演示起点」</t>
        </is>
      </c>
      <c r="G3" s="6" t="inlineStr">
        <is>
          <t>没有 演示位置 标识；回答用了真实位置</t>
        </is>
      </c>
      <c r="H3" s="6" t="inlineStr">
        <is>
          <t>a8aa080</t>
        </is>
      </c>
      <c r="I3" s="7" t="inlineStr"/>
      <c r="J3" s="7" t="inlineStr"/>
      <c r="K3" s="7" t="inlineStr"/>
      <c r="L3" s="7" t="inlineStr"/>
    </row>
    <row r="4">
      <c r="A4" s="6" t="n">
        <v>12</v>
      </c>
      <c r="B4" s="6" t="inlineStr">
        <is>
          <t>3. 语音（M1 / M2）</t>
        </is>
      </c>
      <c r="C4" s="6" t="inlineStr">
        <is>
          <t>W1（T-026）；B1</t>
        </is>
      </c>
      <c r="D4" s="6" t="inlineStr">
        <is>
          <t>停车</t>
        </is>
      </c>
      <c r="E4" s="6" t="inlineStr">
        <is>
          <t>开始对话，说「小诺，打开空调。」</t>
        </is>
      </c>
      <c r="F4" s="6" t="inlineStr">
        <is>
          <t>聆听中 → 思考中 → 顶部空调状态变开 → 之后才听到「空调开了」类回复；只执行一次</t>
        </is>
      </c>
      <c r="G4" s="6" t="inlineStr">
        <is>
          <t>没执行；执行两次；先说「空调开了」后才变状态</t>
        </is>
      </c>
      <c r="H4" s="6" t="inlineStr">
        <is>
          <t>a8aa080</t>
        </is>
      </c>
      <c r="I4" s="7" t="inlineStr"/>
      <c r="J4" s="7" t="inlineStr"/>
      <c r="K4" s="7" t="inlineStr"/>
      <c r="L4" s="7" t="inlineStr"/>
    </row>
    <row r="5">
      <c r="A5" s="6" t="n">
        <v>13</v>
      </c>
      <c r="B5" s="6" t="inlineStr">
        <is>
          <t>3. 语音（M1 / M2）</t>
        </is>
      </c>
      <c r="C5" s="6" t="inlineStr">
        <is>
          <t>W2（T-026）；F-08 §10 #1；B2 ⏱</t>
        </is>
      </c>
      <c r="D5" s="6" t="inlineStr">
        <is>
          <t>停车</t>
        </is>
      </c>
      <c r="E5" s="6" t="inlineStr">
        <is>
          <t>让她说一段长回复（如「介绍一下珠海」），中途说「等一下，把温度调低一点。」</t>
        </is>
      </c>
      <c r="F5" s="6" t="inlineStr">
        <is>
          <t>她立即停下，被打断的话不再继续；温度只降 1 次；从你开口到她停声 ≤ 300 ms（看录屏）</t>
        </is>
      </c>
      <c r="G5" s="6" t="inlineStr">
        <is>
          <t>她不停；停了又接着说；温度降了 2 次；停声 &gt; 300 ms</t>
        </is>
      </c>
      <c r="H5" s="6" t="inlineStr">
        <is>
          <t>a8aa080</t>
        </is>
      </c>
      <c r="I5" s="7" t="inlineStr"/>
      <c r="J5" s="7" t="inlineStr"/>
      <c r="K5" s="7" t="inlineStr"/>
      <c r="L5" s="7" t="inlineStr"/>
    </row>
    <row r="6">
      <c r="A6" s="6" t="n">
        <v>17</v>
      </c>
      <c r="B6" s="6" t="inlineStr">
        <is>
          <t>3. 语音（M1 / M2）</t>
        </is>
      </c>
      <c r="C6" s="6" t="inlineStr">
        <is>
          <t>B3；F-09 §10 #2</t>
        </is>
      </c>
      <c r="D6" s="6" t="inlineStr">
        <is>
          <t>停车</t>
        </is>
      </c>
      <c r="E6" s="6" t="inlineStr">
        <is>
          <t>说「打开天窗。」</t>
        </is>
      </c>
      <c r="F6" s="6" t="inlineStr">
        <is>
          <t>如实说做不到；车窗数值不变，不说「已打开」</t>
        </is>
      </c>
      <c r="G6" s="6" t="inlineStr">
        <is>
          <t>说「已打开天窗」；车窗数值被改</t>
        </is>
      </c>
      <c r="H6" s="6" t="inlineStr">
        <is>
          <t>a8aa080</t>
        </is>
      </c>
      <c r="I6" s="7" t="inlineStr"/>
      <c r="J6" s="7" t="inlineStr"/>
      <c r="K6" s="7" t="inlineStr"/>
      <c r="L6" s="7" t="inlineStr"/>
    </row>
    <row r="7">
      <c r="A7" s="6" t="n">
        <v>18</v>
      </c>
      <c r="B7" s="6" t="inlineStr">
        <is>
          <t>3. 语音（M1 / M2）</t>
        </is>
      </c>
      <c r="C7" s="6" t="inlineStr">
        <is>
          <t>W6（T-035）；J4</t>
        </is>
      </c>
      <c r="D7" s="6" t="inlineStr">
        <is>
          <t>停车</t>
        </is>
      </c>
      <c r="E7" s="6" t="inlineStr">
        <is>
          <t>依次说「有点热」→「再凉一点」→「座椅调低一点」→「再低一点」→ 她问后答「座椅」</t>
        </is>
      </c>
      <c r="F7" s="6" t="inlineStr">
        <is>
          <t>前两句温度各降 1；「再低一点」时不执行任何动作并问「是座椅还是温度？」；答「座椅」后座椅只降 1 档</t>
        </is>
      </c>
      <c r="G7" s="6" t="inlineStr">
        <is>
          <t>温度没降或降两档；「再低一点」时直接执行；座椅降错</t>
        </is>
      </c>
      <c r="H7" s="6" t="inlineStr">
        <is>
          <t>a8aa080</t>
        </is>
      </c>
      <c r="I7" s="7" t="inlineStr"/>
      <c r="J7" s="7" t="inlineStr"/>
      <c r="K7" s="7" t="inlineStr"/>
      <c r="L7" s="7" t="inlineStr"/>
    </row>
    <row r="8">
      <c r="A8" s="6" t="n">
        <v>22</v>
      </c>
      <c r="B8" s="6" t="inlineStr">
        <is>
          <t>3. 语音（M1 / M2）</t>
        </is>
      </c>
      <c r="C8" s="6" t="inlineStr">
        <is>
          <t>STATUS OQ-IOS-7；F-13 §10 #2</t>
        </is>
      </c>
      <c r="D8" s="6" t="inlineStr">
        <is>
          <t>停车</t>
        </is>
      </c>
      <c r="E8" s="6" t="inlineStr">
        <is>
          <t>说「放周杰伦的歌」</t>
        </is>
      </c>
      <c r="F8" s="6" t="inlineStr">
        <is>
          <t>如实说现在不能按歌名放，不声称在放</t>
        </is>
      </c>
      <c r="G8" s="6" t="inlineStr">
        <is>
          <t>声称在放周杰伦</t>
        </is>
      </c>
      <c r="H8" s="6" t="inlineStr">
        <is>
          <t>a8aa080</t>
        </is>
      </c>
      <c r="I8" s="7" t="inlineStr"/>
      <c r="J8" s="7" t="inlineStr"/>
      <c r="K8" s="7" t="inlineStr"/>
      <c r="L8" s="7" t="inlineStr"/>
    </row>
    <row r="9">
      <c r="A9" s="6" t="n">
        <v>24</v>
      </c>
      <c r="B9" s="6" t="inlineStr">
        <is>
          <t>3. 语音（M1 / M2）</t>
        </is>
      </c>
      <c r="C9" s="6" t="inlineStr">
        <is>
          <t>STATUS F-25 open_app 真机</t>
        </is>
      </c>
      <c r="D9" s="6" t="inlineStr">
        <is>
          <t>停车</t>
        </is>
      </c>
      <c r="E9" s="6" t="inlineStr">
        <is>
          <t>说「打开设置」→ 再说「打开地图」→ 再说「打开微信」</t>
        </is>
      </c>
      <c r="F9" s="6" t="inlineStr">
        <is>
          <t>前两句切到 设置 / 驾驶 页并按切换结果回答；微信如实拒绝，不说已打开</t>
        </is>
      </c>
      <c r="G9" s="6" t="inlineStr">
        <is>
          <t>页面没切换却说已打开；声称打开了微信</t>
        </is>
      </c>
      <c r="H9" s="6" t="inlineStr">
        <is>
          <t>a8aa080</t>
        </is>
      </c>
      <c r="I9" s="7" t="inlineStr"/>
      <c r="J9" s="7" t="inlineStr"/>
      <c r="K9" s="7" t="inlineStr"/>
      <c r="L9" s="7" t="inlineStr"/>
    </row>
    <row r="10">
      <c r="A10" s="6" t="n">
        <v>29</v>
      </c>
      <c r="B10" s="6" t="inlineStr">
        <is>
          <t>4. 导航（路线来自高德 Web，车辆移动为模拟，界面显示 模拟行驶）</t>
        </is>
      </c>
      <c r="C10" s="6" t="inlineStr">
        <is>
          <t>J2；B4；F-15 §10 #4；STATUS T-030/T-040</t>
        </is>
      </c>
      <c r="D10" s="6" t="inlineStr">
        <is>
          <t>停车</t>
        </is>
      </c>
      <c r="E10" s="6" t="inlineStr">
        <is>
          <t>说「导航去珠海站」→「第二个」→ 看路线列表，到此为止，不说「开始导航」（可再说「算了」）</t>
        </is>
      </c>
      <c r="F10" s="6" t="inlineStr">
        <is>
          <t>出现真实候选列表 → 路线列表（分钟 / 公里 / 红绿灯）；没说开始前她不说「已开始导航」，不进入导航</t>
        </is>
      </c>
      <c r="G10" s="6" t="inlineStr">
        <is>
          <t>没有候选列表；导航启动多次；没 HUD；提前说已开始导航</t>
        </is>
      </c>
      <c r="H10" s="6" t="inlineStr">
        <is>
          <t>a8aa080</t>
        </is>
      </c>
      <c r="I10" s="7" t="inlineStr"/>
      <c r="J10" s="7" t="inlineStr"/>
      <c r="K10" s="7" t="inlineStr"/>
      <c r="L10" s="7" t="inlineStr"/>
    </row>
    <row r="11">
      <c r="A11" s="6" t="n">
        <v>30</v>
      </c>
      <c r="B11" s="6" t="inlineStr">
        <is>
          <t>4. 导航（路线来自高德 Web，车辆移动为模拟，界面显示 模拟行驶）</t>
        </is>
      </c>
      <c r="C11" s="6" t="inlineStr">
        <is>
          <t>W8</t>
        </is>
      </c>
      <c r="D11" s="6" t="inlineStr">
        <is>
          <t>停车</t>
        </is>
      </c>
      <c r="E11" s="6" t="inlineStr">
        <is>
          <t>「导航去珠海站」→ 选一个 → 显示「正在计算路线…」时立刻说「算了」（可多试几次）</t>
        </is>
      </c>
      <c r="F11" s="6" t="inlineStr">
        <is>
          <t>回到空闲，不画路线，之后也不会突然出现路线</t>
        </is>
      </c>
      <c r="G11" s="6" t="inlineStr">
        <is>
          <t>说「算了」后仍出现路线</t>
        </is>
      </c>
      <c r="H11" s="6" t="inlineStr">
        <is>
          <t>a8aa080</t>
        </is>
      </c>
      <c r="I11" s="7" t="inlineStr"/>
      <c r="J11" s="7" t="inlineStr"/>
      <c r="K11" s="7" t="inlineStr"/>
      <c r="L11" s="7" t="inlineStr"/>
    </row>
    <row r="12">
      <c r="A12" s="6" t="n">
        <v>31</v>
      </c>
      <c r="B12" s="6" t="inlineStr">
        <is>
          <t>4. 导航（路线来自高德 Web，车辆移动为模拟，界面显示 模拟行驶）</t>
        </is>
      </c>
      <c r="C12" s="6" t="inlineStr">
        <is>
          <t>STATUS F-16（保存地点真机）</t>
        </is>
      </c>
      <c r="D12" s="6" t="inlineStr">
        <is>
          <t>停车；用公共地点，不用真实住址</t>
        </is>
      </c>
      <c r="E12" s="6" t="inlineStr">
        <is>
          <t>说「我家在珠海站」→ 再说「回家」</t>
        </is>
      </c>
      <c r="F12" s="6" t="inlineStr">
        <is>
          <t>如实说已保存（或如实说没存成）；「回家」直接算路线，不出现地点列表</t>
        </is>
      </c>
      <c r="G12" s="6" t="inlineStr">
        <is>
          <t>说保存了但没存；「回家」又出现地点列表</t>
        </is>
      </c>
      <c r="H12" s="6" t="inlineStr">
        <is>
          <t>a8aa080</t>
        </is>
      </c>
      <c r="I12" s="7" t="inlineStr"/>
      <c r="J12" s="7" t="inlineStr"/>
      <c r="K12" s="7" t="inlineStr"/>
      <c r="L12" s="7" t="inlineStr"/>
    </row>
    <row r="13">
      <c r="A13" s="6" t="n">
        <v>39</v>
      </c>
      <c r="B13" s="6" t="inlineStr">
        <is>
          <t>5. 摄像头（F-20a 前方 / F-20b 后方）</t>
        </is>
      </c>
      <c r="C13" s="6" t="inlineStr">
        <is>
          <t>F-20a §10 #1 ⏱</t>
        </is>
      </c>
      <c r="D13" s="6" t="inlineStr">
        <is>
          <t>停车</t>
        </is>
      </c>
      <c r="E13" s="6" t="inlineStr">
        <is>
          <t>点摄像头图标</t>
        </is>
      </c>
      <c r="F13" s="6" t="inlineStr">
        <is>
          <t>1.5 s 内出现小窗实时画面，左上角 前方</t>
        </is>
      </c>
      <c r="G13" s="6" t="inlineStr">
        <is>
          <t>画面 &gt; 1.5 s 才出现；没有 前方 标签；黑屏</t>
        </is>
      </c>
      <c r="H13" s="6" t="inlineStr">
        <is>
          <t>a8aa080</t>
        </is>
      </c>
      <c r="I13" s="7" t="inlineStr"/>
      <c r="J13" s="7" t="inlineStr"/>
      <c r="K13" s="7" t="inlineStr"/>
      <c r="L13" s="7" t="inlineStr"/>
    </row>
    <row r="14">
      <c r="A14" s="6" t="n">
        <v>43</v>
      </c>
      <c r="B14" s="6" t="inlineStr">
        <is>
          <t>5. 摄像头（F-20a 前方 / F-20b 后方）</t>
        </is>
      </c>
      <c r="C14" s="6" t="inlineStr">
        <is>
          <t>F-20b §10 #1 ⏱</t>
        </is>
      </c>
      <c r="D14" s="6" t="inlineStr">
        <is>
          <t>停车</t>
        </is>
      </c>
      <c r="E14" s="6" t="inlineStr">
        <is>
          <t>点切换按钮两次</t>
        </is>
      </c>
      <c r="F14" s="6" t="inlineStr">
        <is>
          <t>每次 1 s 内换到另一个镜头，标签 前方 / 后方 跟着变</t>
        </is>
      </c>
      <c r="G14" s="6" t="inlineStr">
        <is>
          <t>切换 &gt; 1 s；标签没跟着变；画面卡住</t>
        </is>
      </c>
      <c r="H14" s="6" t="inlineStr">
        <is>
          <t>a8aa080</t>
        </is>
      </c>
      <c r="I14" s="7" t="inlineStr"/>
      <c r="J14" s="7" t="inlineStr"/>
      <c r="K14" s="7" t="inlineStr"/>
      <c r="L14" s="7" t="inlineStr"/>
    </row>
  </sheetData>
  <autoFilter ref="A1:L14"/>
  <conditionalFormatting sqref="I2:I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"NOT_VERIFIED"</formula>
    </cfRule>
    <cfRule type="cellIs" priority="4" operator="equal" dxfId="3">
      <formula>"BLOCKED"</formula>
    </cfRule>
  </conditionalFormatting>
  <dataValidations count="1">
    <dataValidation sqref="I2:I14" showDropDown="0" showInputMessage="0" showErrorMessage="0" allowBlank="1" type="list">
      <formula1>"PASS,FAIL,NOT_VERIFIED,BLOCKED"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2026-10-27T07:15:11Z</dcterms:created>
  <dcterms:modified xmlns:dcterms="http://purl.org/dc/terms/" xmlns:xsi="http://www.w3.org/2001/XMLSchema-instance" xsi:type="dcterms:W3CDTF">2026-10-27T07:15:11Z</dcterms:modified>
</cp:coreProperties>
</file>