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测试清单" sheetId="2" state="visible" r:id="rId2"/>
  </sheets>
  <definedNames>
    <definedName name="_xlnm._FilterDatabase" localSheetId="1" hidden="1">'测试清单'!$A$1:$L$66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C00000"/>
      <sz val="10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NovaDrive 真机测试清单</t>
        </is>
      </c>
      <c r="B1" s="2" t="n"/>
    </row>
    <row r="2">
      <c r="A2" s="3" t="inlineStr">
        <is>
          <t>手机上的版本</t>
        </is>
      </c>
      <c r="B2" s="2" t="inlineStr">
        <is>
          <t>a8aa080（2026-10-27 安装，自动检查 PASS）</t>
        </is>
      </c>
    </row>
    <row r="3">
      <c r="A3" s="3" t="inlineStr">
        <is>
          <t>怎么填</t>
        </is>
      </c>
      <c r="B3" s="2" t="inlineStr">
        <is>
          <t>只填「测试清单」页黄色的列：结果（下拉选）、出现的失败 / 现象、备注、日期</t>
        </is>
      </c>
    </row>
    <row r="4">
      <c r="A4" s="3" t="inlineStr">
        <is>
          <t>结果怎么选</t>
        </is>
      </c>
      <c r="B4" s="2" t="inlineStr">
        <is>
          <t>全部符合「预期」→ PASS；出现「可能的失败情况」或其他异常 → FAIL，并在「出现的失败」写看到了什么</t>
        </is>
      </c>
    </row>
    <row r="5">
      <c r="A5" s="3" t="inlineStr">
        <is>
          <t>示例（FAIL）</t>
        </is>
      </c>
      <c r="B5" s="2" t="inlineStr">
        <is>
          <t>#13 结果 FAIL；出现的失败：温度降了 2 次；备注：停声约 400 ms（录屏 12:03）</t>
        </is>
      </c>
    </row>
    <row r="6">
      <c r="A6" s="3" t="inlineStr">
        <is>
          <t>「版本」=新版本 的行</t>
        </is>
      </c>
      <c r="B6" s="2" t="inlineStr">
        <is>
          <t>当前版本缺修复，可试跑记现象，但不要标 PASS（选 NOT_VERIFIED）</t>
        </is>
      </c>
    </row>
    <row r="7">
      <c r="A7" s="3" t="inlineStr">
        <is>
          <t>安全</t>
        </is>
      </c>
      <c r="B7" s="2" t="inlineStr">
        <is>
          <t>开车时司机只说话不碰屏幕；标「行驶」的行由乘客操作和记录</t>
        </is>
      </c>
    </row>
    <row r="8">
      <c r="A8" s="3" t="inlineStr"/>
      <c r="B8" s="2" t="n"/>
    </row>
    <row r="9">
      <c r="A9" s="4" t="inlineStr">
        <is>
          <t>统计</t>
        </is>
      </c>
      <c r="B9" s="2" t="n"/>
    </row>
    <row r="10">
      <c r="A10" s="3" t="inlineStr">
        <is>
          <t>总行数</t>
        </is>
      </c>
      <c r="B10" s="2">
        <f>COUNTA('测试清单'!A2:A66)</f>
        <v/>
      </c>
    </row>
    <row r="11">
      <c r="A11" s="3" t="inlineStr">
        <is>
          <t>PASS</t>
        </is>
      </c>
      <c r="B11" s="2">
        <f>COUNTIF('测试清单'!I2:I66,"PASS")</f>
        <v/>
      </c>
    </row>
    <row r="12">
      <c r="A12" s="3" t="inlineStr">
        <is>
          <t>FAIL</t>
        </is>
      </c>
      <c r="B12" s="2">
        <f>COUNTIF('测试清单'!I2:I66,"FAIL")</f>
        <v/>
      </c>
    </row>
    <row r="13">
      <c r="A13" s="3" t="inlineStr">
        <is>
          <t>NOT_VERIFIED</t>
        </is>
      </c>
      <c r="B13" s="2">
        <f>COUNTIF('测试清单'!I2:I66,"NOT_VERIFIED")</f>
        <v/>
      </c>
    </row>
    <row r="14">
      <c r="A14" s="3" t="inlineStr">
        <is>
          <t>BLOCKED</t>
        </is>
      </c>
      <c r="B14" s="2">
        <f>COUNTIF('测试清单'!I2:I66,"BLOCKED")</f>
        <v/>
      </c>
    </row>
    <row r="15">
      <c r="A15" s="3" t="inlineStr">
        <is>
          <t>未填</t>
        </is>
      </c>
      <c r="B15" s="2">
        <f>B10-B11-B12-B13-B14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20" customWidth="1" min="4" max="4"/>
    <col width="40" customWidth="1" min="5" max="5"/>
    <col width="40" customWidth="1" min="6" max="6"/>
    <col width="34" customWidth="1" min="7" max="7"/>
    <col width="9" customWidth="1" min="8" max="8"/>
    <col width="14" customWidth="1" min="9" max="9"/>
    <col width="30" customWidth="1" min="10" max="10"/>
    <col width="24" customWidth="1" min="11" max="11"/>
    <col width="12" customWidth="1" min="12" max="12"/>
  </cols>
  <sheetData>
    <row r="1">
      <c r="A1" s="5" t="inlineStr">
        <is>
          <t>#</t>
        </is>
      </c>
      <c r="B1" s="5" t="inlineStr">
        <is>
          <t>分组</t>
        </is>
      </c>
      <c r="C1" s="5" t="inlineStr">
        <is>
          <t>Spec 行</t>
        </is>
      </c>
      <c r="D1" s="5" t="inlineStr">
        <is>
          <t>前置 / 地点</t>
        </is>
      </c>
      <c r="E1" s="5" t="inlineStr">
        <is>
          <t>步骤</t>
        </is>
      </c>
      <c r="F1" s="5" t="inlineStr">
        <is>
          <t>预期（通过标准）</t>
        </is>
      </c>
      <c r="G1" s="5" t="inlineStr">
        <is>
          <t>可能的失败情况</t>
        </is>
      </c>
      <c r="H1" s="5" t="inlineStr">
        <is>
          <t>版本</t>
        </is>
      </c>
      <c r="I1" s="5" t="inlineStr">
        <is>
          <t>结果</t>
        </is>
      </c>
      <c r="J1" s="5" t="inlineStr">
        <is>
          <t>出现的失败 / 现象</t>
        </is>
      </c>
      <c r="K1" s="5" t="inlineStr">
        <is>
          <t>备注（数字、时间）</t>
        </is>
      </c>
      <c r="L1" s="5" t="inlineStr">
        <is>
          <t>测试日期</t>
        </is>
      </c>
    </row>
    <row r="2">
      <c r="A2" s="6" t="n">
        <v>1</v>
      </c>
      <c r="B2" s="6" t="inlineStr">
        <is>
          <t>1. 准备</t>
        </is>
      </c>
      <c r="C2" s="6" t="inlineStr">
        <is>
          <t>H-hardware；REC-001</t>
        </is>
      </c>
      <c r="D2" s="6" t="inlineStr">
        <is>
          <t>停车</t>
        </is>
      </c>
      <c r="E2" s="6" t="inlineStr">
        <is>
          <t>记下 iPhone 型号、iOS 版本、安装的 commit（a8aa080）、安装方式、网络（4G/5G/Wi-Fi）、日期</t>
        </is>
      </c>
      <c r="F2" s="6" t="inlineStr">
        <is>
          <t>记录完整</t>
        </is>
      </c>
      <c r="G2" s="6" t="inlineStr">
        <is>
          <t>版本号不是 a8aa080；信息漏记</t>
        </is>
      </c>
      <c r="H2" s="6" t="inlineStr">
        <is>
          <t>a8aa080</t>
        </is>
      </c>
      <c r="I2" s="7" t="inlineStr"/>
      <c r="J2" s="7" t="inlineStr"/>
      <c r="K2" s="7" t="inlineStr"/>
      <c r="L2" s="7" t="inlineStr"/>
    </row>
    <row r="3">
      <c r="A3" s="6" t="n">
        <v>2</v>
      </c>
      <c r="B3" s="6" t="inlineStr">
        <is>
          <t>1. 准备</t>
        </is>
      </c>
      <c r="C3" s="6" t="inlineStr">
        <is>
          <t>H-keys</t>
        </is>
      </c>
      <c r="D3" s="6" t="inlineStr">
        <is>
          <t>停车；设置页（不要录屏）</t>
        </is>
      </c>
      <c r="E3" s="6" t="inlineStr">
        <is>
          <t>设置 → 「状态」区确认 Gemini key、Gemini 同意、Azure key + 声音、高德 Web key、讯飞 APPID/APIKey/APISecret 都是 已保存</t>
        </is>
      </c>
      <c r="F3" s="6" t="inlineStr">
        <is>
          <t>每项显示 已保存（不显示 key 内容）</t>
        </is>
      </c>
      <c r="G3" s="6" t="inlineStr">
        <is>
          <t>某项显示 未保存；页面上露出 key 原文</t>
        </is>
      </c>
      <c r="H3" s="6" t="inlineStr">
        <is>
          <t>a8aa080</t>
        </is>
      </c>
      <c r="I3" s="7" t="inlineStr"/>
      <c r="J3" s="7" t="inlineStr"/>
      <c r="K3" s="7" t="inlineStr"/>
      <c r="L3" s="7" t="inlineStr"/>
    </row>
    <row r="4">
      <c r="A4" s="6" t="n">
        <v>3</v>
      </c>
      <c r="B4" s="6" t="inlineStr">
        <is>
          <t>1. 准备</t>
        </is>
      </c>
      <c r="C4" s="6" t="inlineStr">
        <is>
          <t>STATUS F-22（设置页真机）；F-22 §10 #1</t>
        </is>
      </c>
      <c r="D4" s="6" t="inlineStr">
        <is>
          <t>停车</t>
        </is>
      </c>
      <c r="E4" s="6" t="inlineStr">
        <is>
          <t>在任一已保存的 key 输入框留空点 保存；再看状态</t>
        </is>
      </c>
      <c r="F4" s="6" t="inlineStr">
        <is>
          <t>仍显示 已保存，key 没被清掉，任何地方都看不到 key 原文</t>
        </is>
      </c>
      <c r="G4" s="6" t="inlineStr">
        <is>
          <t>留空保存后 key 被清掉（变 未保存）；key 原文出现</t>
        </is>
      </c>
      <c r="H4" s="6" t="inlineStr">
        <is>
          <t>a8aa080</t>
        </is>
      </c>
      <c r="I4" s="7" t="inlineStr"/>
      <c r="J4" s="7" t="inlineStr"/>
      <c r="K4" s="7" t="inlineStr"/>
      <c r="L4" s="7" t="inlineStr"/>
    </row>
    <row r="5">
      <c r="A5" s="6" t="n">
        <v>4</v>
      </c>
      <c r="B5" s="6" t="inlineStr">
        <is>
          <t>1. 准备</t>
        </is>
      </c>
      <c r="C5" s="6" t="inlineStr">
        <is>
          <t>F-22 §10 #3</t>
        </is>
      </c>
      <c r="D5" s="6" t="inlineStr">
        <is>
          <t>停车</t>
        </is>
      </c>
      <c r="E5" s="6" t="inlineStr">
        <is>
          <t>关掉「同意 Gemini 使用条款」→ 驾驶页点 开始对话；然后重新打开同意</t>
        </is>
      </c>
      <c r="F5" s="6" t="inlineStr">
        <is>
          <t>关掉时提示「请先在设置里同意 Gemini 使用条款」且不连接；打开后可以正常开始</t>
        </is>
      </c>
      <c r="G5" s="6" t="inlineStr">
        <is>
          <t>关掉同意仍能连接；或打开后仍提示未同意</t>
        </is>
      </c>
      <c r="H5" s="6" t="inlineStr">
        <is>
          <t>a8aa080</t>
        </is>
      </c>
      <c r="I5" s="7" t="inlineStr"/>
      <c r="J5" s="7" t="inlineStr"/>
      <c r="K5" s="7" t="inlineStr"/>
      <c r="L5" s="7" t="inlineStr"/>
    </row>
    <row r="6">
      <c r="A6" s="6" t="n">
        <v>5</v>
      </c>
      <c r="B6" s="6" t="inlineStr">
        <is>
          <t>1. 准备</t>
        </is>
      </c>
      <c r="C6" s="6" t="inlineStr">
        <is>
          <t>demo-recording §3.1</t>
        </is>
      </c>
      <c r="D6" s="6" t="inlineStr">
        <is>
          <t>停车</t>
        </is>
      </c>
      <c r="E6" s="6" t="inlineStr">
        <is>
          <t>打开勿扰模式、充电、音量调到最大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a8aa080</t>
        </is>
      </c>
      <c r="I6" s="7" t="inlineStr"/>
      <c r="J6" s="7" t="inlineStr"/>
      <c r="K6" s="7" t="inlineStr"/>
      <c r="L6" s="7" t="inlineStr"/>
    </row>
    <row r="7">
      <c r="A7" s="6" t="n">
        <v>6</v>
      </c>
      <c r="B7" s="6" t="inlineStr">
        <is>
          <t>2. 权限</t>
        </is>
      </c>
      <c r="C7" s="6" t="inlineStr">
        <is>
          <t>F-16a §10 #1；F-23 §10 #1</t>
        </is>
      </c>
      <c r="D7" s="6" t="inlineStr">
        <is>
          <t>停车；定位权限 未询问</t>
        </is>
      </c>
      <c r="E7" s="6" t="inlineStr">
        <is>
          <t>设置 → 位置来源 选 手机定位（若已选中，先切到 演示起点 再切回）</t>
        </is>
      </c>
      <c r="F7" s="6" t="inlineStr">
        <is>
          <t>立刻弹出一次定位权限；选「使用 App 时允许」后状态行变 已允许</t>
        </is>
      </c>
      <c r="G7" s="6" t="inlineStr">
        <is>
          <t>没有弹权限；弹了多次；授权后状态行不变</t>
        </is>
      </c>
      <c r="H7" s="6" t="inlineStr">
        <is>
          <t>a8aa080</t>
        </is>
      </c>
      <c r="I7" s="7" t="inlineStr"/>
      <c r="J7" s="7" t="inlineStr"/>
      <c r="K7" s="7" t="inlineStr"/>
      <c r="L7" s="7" t="inlineStr"/>
    </row>
    <row r="8">
      <c r="A8" s="6" t="n">
        <v>7</v>
      </c>
      <c r="B8" s="6" t="inlineStr">
        <is>
          <t>2. 权限</t>
        </is>
      </c>
      <c r="C8" s="6" t="inlineStr">
        <is>
          <t>F-16a §10 #6</t>
        </is>
      </c>
      <c r="D8" s="6" t="inlineStr">
        <is>
          <t>紧接 #6，刚授权</t>
        </is>
      </c>
      <c r="E8" s="6" t="inlineStr">
        <is>
          <t>驾驶页 开始对话，马上问「我现在在哪？」</t>
        </is>
      </c>
      <c r="F8" s="6" t="inlineStr">
        <is>
          <t>3 秒内说出地址，不说「还没定位到」</t>
        </is>
      </c>
      <c r="G8" s="6" t="inlineStr">
        <is>
          <t>说「还没定位到」；超过 3 秒；地址错误</t>
        </is>
      </c>
      <c r="H8" s="8" t="inlineStr">
        <is>
          <t>新版本</t>
        </is>
      </c>
      <c r="I8" s="7" t="inlineStr"/>
      <c r="J8" s="7" t="inlineStr"/>
      <c r="K8" s="7" t="inlineStr"/>
      <c r="L8" s="7" t="inlineStr"/>
    </row>
    <row r="9">
      <c r="A9" s="6" t="n">
        <v>8</v>
      </c>
      <c r="B9" s="6" t="inlineStr">
        <is>
          <t>2. 权限</t>
        </is>
      </c>
      <c r="C9" s="6" t="inlineStr">
        <is>
          <t>F-16a §10 #5</t>
        </is>
      </c>
      <c r="D9" s="6" t="inlineStr">
        <is>
          <t>停车</t>
        </is>
      </c>
      <c r="E9" s="6" t="inlineStr">
        <is>
          <t>iOS 设置 → Nova Drive → 位置 → 永不；回到 App 问「我现在在哪？」；再看 App 设置页，点 打开系统设置；最后改回「使用 App 时」</t>
        </is>
      </c>
      <c r="F9" s="6" t="inlineStr">
        <is>
          <t>她说「定位权限没有打开，可以在设置里允许。」，不说任何地址；状态行 未允许；按钮跳到本 App 的系统设置页</t>
        </is>
      </c>
      <c r="G9" s="6" t="inlineStr">
        <is>
          <t>仍说出地址；状态行不对；按钮没跳到本 App 设置</t>
        </is>
      </c>
      <c r="H9" s="6" t="inlineStr">
        <is>
          <t>a8aa080</t>
        </is>
      </c>
      <c r="I9" s="7" t="inlineStr"/>
      <c r="J9" s="7" t="inlineStr"/>
      <c r="K9" s="7" t="inlineStr"/>
      <c r="L9" s="7" t="inlineStr"/>
    </row>
    <row r="10">
      <c r="A10" s="6" t="n">
        <v>9</v>
      </c>
      <c r="B10" s="6" t="inlineStr">
        <is>
          <t>2. 权限</t>
        </is>
      </c>
      <c r="C10" s="6" t="inlineStr">
        <is>
          <t>F-16a §10 #4</t>
        </is>
      </c>
      <c r="D10" s="6" t="inlineStr">
        <is>
          <t>停车</t>
        </is>
      </c>
      <c r="E10" s="6" t="inlineStr">
        <is>
          <t>位置来源 选 演示起点 → 问「我现在在哪？」；之后切回 手机定位</t>
        </is>
      </c>
      <c r="F10" s="6" t="inlineStr">
        <is>
          <t>驾驶页顶部出现 演示位置；回答提到「演示起点」</t>
        </is>
      </c>
      <c r="G10" s="6" t="inlineStr">
        <is>
          <t>没有 演示位置 标识；回答用了真实位置</t>
        </is>
      </c>
      <c r="H10" s="6" t="inlineStr">
        <is>
          <t>a8aa080</t>
        </is>
      </c>
      <c r="I10" s="7" t="inlineStr"/>
      <c r="J10" s="7" t="inlineStr"/>
      <c r="K10" s="7" t="inlineStr"/>
      <c r="L10" s="7" t="inlineStr"/>
    </row>
    <row r="11">
      <c r="A11" s="6" t="n">
        <v>10</v>
      </c>
      <c r="B11" s="6" t="inlineStr">
        <is>
          <t>2. 权限</t>
        </is>
      </c>
      <c r="C11" s="6" t="inlineStr">
        <is>
          <t>F-23 §10 #1；T-063</t>
        </is>
      </c>
      <c r="D11" s="6" t="inlineStr">
        <is>
          <t>停车</t>
        </is>
      </c>
      <c r="E11" s="6" t="inlineStr">
        <is>
          <t>iOS 设置 → Nova Drive → 关闭麦克风 → 开始对话；然后重新打开麦克风</t>
        </is>
      </c>
      <c r="F11" s="6" t="inlineStr">
        <is>
          <t>App 说明麦克风被拒绝以及去哪里打开，其余功能可用；不会反复弹窗</t>
        </is>
      </c>
      <c r="G11" s="6" t="inlineStr">
        <is>
          <t>App 崩溃 / 卡住；反复弹窗；没说明去哪打开</t>
        </is>
      </c>
      <c r="H11" s="6" t="inlineStr">
        <is>
          <t>a8aa080</t>
        </is>
      </c>
      <c r="I11" s="7" t="inlineStr"/>
      <c r="J11" s="7" t="inlineStr"/>
      <c r="K11" s="7" t="inlineStr"/>
      <c r="L11" s="7" t="inlineStr"/>
    </row>
    <row r="12">
      <c r="A12" s="6" t="n">
        <v>11</v>
      </c>
      <c r="B12" s="6" t="inlineStr">
        <is>
          <t>2. 权限</t>
        </is>
      </c>
      <c r="C12" s="6" t="inlineStr">
        <is>
          <t>F-23 §10 #1；F-20a §3</t>
        </is>
      </c>
      <c r="D12" s="6" t="inlineStr">
        <is>
          <t>停车；摄像头从未授权时才有弹窗</t>
        </is>
      </c>
      <c r="E12" s="6" t="inlineStr">
        <is>
          <t>第一次点驾驶页的摄像头图标</t>
        </is>
      </c>
      <c r="F12" s="6" t="inlineStr">
        <is>
          <t>只在此时弹一次相机权限；若之前已答过，写「已询问过」</t>
        </is>
      </c>
      <c r="G12" s="6" t="inlineStr">
        <is>
          <t>没弹相机权限；弹了多次；在别的时候弹</t>
        </is>
      </c>
      <c r="H12" s="6" t="inlineStr">
        <is>
          <t>a8aa080</t>
        </is>
      </c>
      <c r="I12" s="7" t="inlineStr"/>
      <c r="J12" s="7" t="inlineStr"/>
      <c r="K12" s="7" t="inlineStr"/>
      <c r="L12" s="7" t="inlineStr"/>
    </row>
    <row r="13">
      <c r="A13" s="6" t="n">
        <v>12</v>
      </c>
      <c r="B13" s="6" t="inlineStr">
        <is>
          <t>3. 语音（M1 / M2）</t>
        </is>
      </c>
      <c r="C13" s="6" t="inlineStr">
        <is>
          <t>W1（T-026）；B1</t>
        </is>
      </c>
      <c r="D13" s="6" t="inlineStr">
        <is>
          <t>停车</t>
        </is>
      </c>
      <c r="E13" s="6" t="inlineStr">
        <is>
          <t>开始对话，说「小诺，打开空调。」</t>
        </is>
      </c>
      <c r="F13" s="6" t="inlineStr">
        <is>
          <t>聆听中 → 思考中 → 顶部空调状态变开 → 之后才听到「空调开了」类回复；只执行一次</t>
        </is>
      </c>
      <c r="G13" s="6" t="inlineStr">
        <is>
          <t>没执行；执行两次；先说「空调开了」后才变状态</t>
        </is>
      </c>
      <c r="H13" s="6" t="inlineStr">
        <is>
          <t>a8aa080</t>
        </is>
      </c>
      <c r="I13" s="7" t="inlineStr"/>
      <c r="J13" s="7" t="inlineStr"/>
      <c r="K13" s="7" t="inlineStr"/>
      <c r="L13" s="7" t="inlineStr"/>
    </row>
    <row r="14">
      <c r="A14" s="6" t="n">
        <v>13</v>
      </c>
      <c r="B14" s="6" t="inlineStr">
        <is>
          <t>3. 语音（M1 / M2）</t>
        </is>
      </c>
      <c r="C14" s="6" t="inlineStr">
        <is>
          <t>W2（T-026）；F-08 §10 #1；B2 ⏱</t>
        </is>
      </c>
      <c r="D14" s="6" t="inlineStr">
        <is>
          <t>停车</t>
        </is>
      </c>
      <c r="E14" s="6" t="inlineStr">
        <is>
          <t>让她说一段长回复（如「介绍一下珠海」），中途说「等一下，把温度调低一点。」</t>
        </is>
      </c>
      <c r="F14" s="6" t="inlineStr">
        <is>
          <t>她立即停下，被打断的话不再继续；温度只降 1 次；从你开口到她停声 ≤ 300 ms（看录屏）</t>
        </is>
      </c>
      <c r="G14" s="6" t="inlineStr">
        <is>
          <t>她不停；停了又接着说；温度降了 2 次；停声 &gt; 300 ms</t>
        </is>
      </c>
      <c r="H14" s="6" t="inlineStr">
        <is>
          <t>a8aa080</t>
        </is>
      </c>
      <c r="I14" s="7" t="inlineStr"/>
      <c r="J14" s="7" t="inlineStr"/>
      <c r="K14" s="7" t="inlineStr"/>
      <c r="L14" s="7" t="inlineStr"/>
    </row>
    <row r="15">
      <c r="A15" s="6" t="n">
        <v>14</v>
      </c>
      <c r="B15" s="6" t="inlineStr">
        <is>
          <t>3. 语音（M1 / M2）</t>
        </is>
      </c>
      <c r="C15" s="6" t="inlineStr">
        <is>
          <t>W4（T-026）</t>
        </is>
      </c>
      <c r="D15" s="6" t="inlineStr">
        <is>
          <t>停车</t>
        </is>
      </c>
      <c r="E15" s="6" t="inlineStr">
        <is>
          <t>她回答时打开飞行模式约 3 秒再关掉；再说「把风量调大」</t>
        </is>
      </c>
      <c r="F15" s="6" t="inlineStr">
        <is>
          <t>状态显示 思考中，不显示 出错；自动重连；下一句正常执行，不用进设置</t>
        </is>
      </c>
      <c r="G15" s="6" t="inlineStr">
        <is>
          <t>显示 出错；不自动重连；要进设置才恢复</t>
        </is>
      </c>
      <c r="H15" s="6" t="inlineStr">
        <is>
          <t>a8aa080</t>
        </is>
      </c>
      <c r="I15" s="7" t="inlineStr"/>
      <c r="J15" s="7" t="inlineStr"/>
      <c r="K15" s="7" t="inlineStr"/>
      <c r="L15" s="7" t="inlineStr"/>
    </row>
    <row r="16">
      <c r="A16" s="6" t="n">
        <v>15</v>
      </c>
      <c r="B16" s="6" t="inlineStr">
        <is>
          <t>3. 语音（M1 / M2）</t>
        </is>
      </c>
      <c r="C16" s="6" t="inlineStr">
        <is>
          <t>V-LAT（T-026）；release-plan W2 ⏱</t>
        </is>
      </c>
      <c r="D16" s="6" t="inlineStr">
        <is>
          <t>停车</t>
        </is>
      </c>
      <c r="E16" s="6" t="inlineStr">
        <is>
          <t>连续 20 轮简单请求（开关空调、调温度、问天气等）</t>
        </is>
      </c>
      <c r="F16" s="6" t="inlineStr">
        <is>
          <t>每轮从你说完到她出声的时间记在备注；中位数 ≤ 3.0 s（PROPOSED 目标）；20 轮无卡死</t>
        </is>
      </c>
      <c r="G16" s="6" t="inlineStr">
        <is>
          <t>中位数 &gt; 3.0 s；某轮卡死无响应</t>
        </is>
      </c>
      <c r="H16" s="6" t="inlineStr">
        <is>
          <t>a8aa080</t>
        </is>
      </c>
      <c r="I16" s="7" t="inlineStr"/>
      <c r="J16" s="7" t="inlineStr"/>
      <c r="K16" s="7" t="inlineStr"/>
      <c r="L16" s="7" t="inlineStr"/>
    </row>
    <row r="17">
      <c r="A17" s="6" t="n">
        <v>16</v>
      </c>
      <c r="B17" s="6" t="inlineStr">
        <is>
          <t>3. 语音（M1 / M2）</t>
        </is>
      </c>
      <c r="C17" s="6" t="inlineStr">
        <is>
          <t>F-07 §10 #1 ⏱</t>
        </is>
      </c>
      <c r="D17" s="6" t="inlineStr">
        <is>
          <t>停车</t>
        </is>
      </c>
      <c r="E17" s="6" t="inlineStr">
        <is>
          <t>问一个会有 3 句以上回答的问题（如「今天天气怎么样，适合出门吗？」），录屏</t>
        </is>
      </c>
      <c r="F17" s="6" t="inlineStr">
        <is>
          <t>句与句之间无明显停顿（&gt;100 ms 需事后看波形）；顺序正确</t>
        </is>
      </c>
      <c r="G17" s="6" t="inlineStr">
        <is>
          <t>句间明显停顿；句子顺序错乱</t>
        </is>
      </c>
      <c r="H17" s="6" t="inlineStr">
        <is>
          <t>a8aa080</t>
        </is>
      </c>
      <c r="I17" s="7" t="inlineStr"/>
      <c r="J17" s="7" t="inlineStr"/>
      <c r="K17" s="7" t="inlineStr"/>
      <c r="L17" s="7" t="inlineStr"/>
    </row>
    <row r="18">
      <c r="A18" s="6" t="n">
        <v>17</v>
      </c>
      <c r="B18" s="6" t="inlineStr">
        <is>
          <t>3. 语音（M1 / M2）</t>
        </is>
      </c>
      <c r="C18" s="6" t="inlineStr">
        <is>
          <t>B3；F-09 §10 #2</t>
        </is>
      </c>
      <c r="D18" s="6" t="inlineStr">
        <is>
          <t>停车</t>
        </is>
      </c>
      <c r="E18" s="6" t="inlineStr">
        <is>
          <t>说「打开天窗。」</t>
        </is>
      </c>
      <c r="F18" s="6" t="inlineStr">
        <is>
          <t>如实说做不到；车窗数值不变，不说「已打开」</t>
        </is>
      </c>
      <c r="G18" s="6" t="inlineStr">
        <is>
          <t>说「已打开天窗」；车窗数值被改</t>
        </is>
      </c>
      <c r="H18" s="6" t="inlineStr">
        <is>
          <t>a8aa080</t>
        </is>
      </c>
      <c r="I18" s="7" t="inlineStr"/>
      <c r="J18" s="7" t="inlineStr"/>
      <c r="K18" s="7" t="inlineStr"/>
      <c r="L18" s="7" t="inlineStr"/>
    </row>
    <row r="19">
      <c r="A19" s="6" t="n">
        <v>18</v>
      </c>
      <c r="B19" s="6" t="inlineStr">
        <is>
          <t>3. 语音（M1 / M2）</t>
        </is>
      </c>
      <c r="C19" s="6" t="inlineStr">
        <is>
          <t>W6（T-035）；J4</t>
        </is>
      </c>
      <c r="D19" s="6" t="inlineStr">
        <is>
          <t>停车</t>
        </is>
      </c>
      <c r="E19" s="6" t="inlineStr">
        <is>
          <t>依次说「有点热」→「再凉一点」→「座椅调低一点」→「再低一点」→ 她问后答「座椅」</t>
        </is>
      </c>
      <c r="F19" s="6" t="inlineStr">
        <is>
          <t>前两句温度各降 1；「再低一点」时不执行任何动作并问「是座椅还是温度？」；答「座椅」后座椅只降 1 档</t>
        </is>
      </c>
      <c r="G19" s="6" t="inlineStr">
        <is>
          <t>温度没降或降两档；「再低一点」时直接执行；座椅降错</t>
        </is>
      </c>
      <c r="H19" s="6" t="inlineStr">
        <is>
          <t>a8aa080</t>
        </is>
      </c>
      <c r="I19" s="7" t="inlineStr"/>
      <c r="J19" s="7" t="inlineStr"/>
      <c r="K19" s="7" t="inlineStr"/>
      <c r="L19" s="7" t="inlineStr"/>
    </row>
    <row r="20">
      <c r="A20" s="6" t="n">
        <v>19</v>
      </c>
      <c r="B20" s="6" t="inlineStr">
        <is>
          <t>3. 语音（M1 / M2）</t>
        </is>
      </c>
      <c r="C20" s="6" t="inlineStr">
        <is>
          <t>STATUS F-12（舒适场景真机）</t>
        </is>
      </c>
      <c r="D20" s="6" t="inlineStr">
        <is>
          <t>停车</t>
        </is>
      </c>
      <c r="E20" s="6" t="inlineStr">
        <is>
          <t>说「有蚊子」；等她说完后说「蚊子出去了，关上吧」</t>
        </is>
      </c>
      <c r="F20" s="6" t="inlineStr">
        <is>
          <t>车窗打开（数值变化），她按实际结果说做了什么；第二句车窗关闭</t>
        </is>
      </c>
      <c r="G20" s="6" t="inlineStr">
        <is>
          <t>车窗没变却说打开了；第二句没关窗</t>
        </is>
      </c>
      <c r="H20" s="6" t="inlineStr">
        <is>
          <t>a8aa080</t>
        </is>
      </c>
      <c r="I20" s="7" t="inlineStr"/>
      <c r="J20" s="7" t="inlineStr"/>
      <c r="K20" s="7" t="inlineStr"/>
      <c r="L20" s="7" t="inlineStr"/>
    </row>
    <row r="21">
      <c r="A21" s="6" t="n">
        <v>20</v>
      </c>
      <c r="B21" s="6" t="inlineStr">
        <is>
          <t>3. 语音（M1 / M2）</t>
        </is>
      </c>
      <c r="C21" s="6" t="inlineStr">
        <is>
          <t>F-21 §10 #3（LIVE）</t>
        </is>
      </c>
      <c r="D21" s="6" t="inlineStr">
        <is>
          <t>停车</t>
        </is>
      </c>
      <c r="E21" s="6" t="inlineStr">
        <is>
          <t>说「说话嗲一点」，再说「打开空调」（先关掉空调）</t>
        </is>
      </c>
      <c r="F21" s="6" t="inlineStr">
        <is>
          <t>语气变化；空调确实打开且只在打开后才说已开</t>
        </is>
      </c>
      <c r="G21" s="6" t="inlineStr">
        <is>
          <t>语气不变；空调没开就说已开</t>
        </is>
      </c>
      <c r="H21" s="6" t="inlineStr">
        <is>
          <t>a8aa080</t>
        </is>
      </c>
      <c r="I21" s="7" t="inlineStr"/>
      <c r="J21" s="7" t="inlineStr"/>
      <c r="K21" s="7" t="inlineStr"/>
      <c r="L21" s="7" t="inlineStr"/>
    </row>
    <row r="22">
      <c r="A22" s="6" t="n">
        <v>21</v>
      </c>
      <c r="B22" s="6" t="inlineStr">
        <is>
          <t>3. 语音（M1 / M2）</t>
        </is>
      </c>
      <c r="C22" s="6" t="inlineStr">
        <is>
          <t>STATUS T-032（F-13 真机）</t>
        </is>
      </c>
      <c r="D22" s="6" t="inlineStr">
        <is>
          <t>停车</t>
        </is>
      </c>
      <c r="E22" s="6" t="inlineStr">
        <is>
          <t>说「放首歌」，安静 30 秒；然后「关闭音乐」</t>
        </is>
      </c>
      <c r="F22" s="6" t="inlineStr">
        <is>
          <t>内置音乐开始播放后她才说在放；音乐期间不会自己触发 聆听中 / 打断；关闭后音乐停</t>
        </is>
      </c>
      <c r="G22" s="6" t="inlineStr">
        <is>
          <t>没放就说在放；音乐触发 聆听中 / 打断；关闭后不停</t>
        </is>
      </c>
      <c r="H22" s="6" t="inlineStr">
        <is>
          <t>a8aa080</t>
        </is>
      </c>
      <c r="I22" s="7" t="inlineStr"/>
      <c r="J22" s="7" t="inlineStr"/>
      <c r="K22" s="7" t="inlineStr"/>
      <c r="L22" s="7" t="inlineStr"/>
    </row>
    <row r="23">
      <c r="A23" s="6" t="n">
        <v>22</v>
      </c>
      <c r="B23" s="6" t="inlineStr">
        <is>
          <t>3. 语音（M1 / M2）</t>
        </is>
      </c>
      <c r="C23" s="6" t="inlineStr">
        <is>
          <t>STATUS OQ-IOS-7；F-13 §10 #2</t>
        </is>
      </c>
      <c r="D23" s="6" t="inlineStr">
        <is>
          <t>停车</t>
        </is>
      </c>
      <c r="E23" s="6" t="inlineStr">
        <is>
          <t>说「放周杰伦的歌」</t>
        </is>
      </c>
      <c r="F23" s="6" t="inlineStr">
        <is>
          <t>如实说现在不能按歌名放，不声称在放</t>
        </is>
      </c>
      <c r="G23" s="6" t="inlineStr">
        <is>
          <t>声称在放周杰伦</t>
        </is>
      </c>
      <c r="H23" s="6" t="inlineStr">
        <is>
          <t>a8aa080</t>
        </is>
      </c>
      <c r="I23" s="7" t="inlineStr"/>
      <c r="J23" s="7" t="inlineStr"/>
      <c r="K23" s="7" t="inlineStr"/>
      <c r="L23" s="7" t="inlineStr"/>
    </row>
    <row r="24">
      <c r="A24" s="6" t="n">
        <v>23</v>
      </c>
      <c r="B24" s="6" t="inlineStr">
        <is>
          <t>3. 语音（M1 / M2）</t>
        </is>
      </c>
      <c r="C24" s="6" t="inlineStr">
        <is>
          <t>STATUS T-070（F-19 真机）</t>
        </is>
      </c>
      <c r="D24" s="6" t="inlineStr">
        <is>
          <t>停车；用一个知情的联系人</t>
        </is>
      </c>
      <c r="E24" s="6" t="inlineStr">
        <is>
          <t>说「打电话给（联系人名）」；她确认时答「打吧」；系统拨号框出现后可取消</t>
        </is>
      </c>
      <c r="F24" s="6" t="inlineStr">
        <is>
          <t>第一次只问「要打给X吗？」不拨号；答应后才出现 iOS 拨号；首次会弹通讯录权限</t>
        </is>
      </c>
      <c r="G24" s="6" t="inlineStr">
        <is>
          <t>第一次就直接拨号；答应后不拨；没弹通讯录权限</t>
        </is>
      </c>
      <c r="H24" s="6" t="inlineStr">
        <is>
          <t>a8aa080</t>
        </is>
      </c>
      <c r="I24" s="7" t="inlineStr"/>
      <c r="J24" s="7" t="inlineStr"/>
      <c r="K24" s="7" t="inlineStr"/>
      <c r="L24" s="7" t="inlineStr"/>
    </row>
    <row r="25">
      <c r="A25" s="6" t="n">
        <v>24</v>
      </c>
      <c r="B25" s="6" t="inlineStr">
        <is>
          <t>3. 语音（M1 / M2）</t>
        </is>
      </c>
      <c r="C25" s="6" t="inlineStr">
        <is>
          <t>STATUS F-25 open_app 真机</t>
        </is>
      </c>
      <c r="D25" s="6" t="inlineStr">
        <is>
          <t>停车</t>
        </is>
      </c>
      <c r="E25" s="6" t="inlineStr">
        <is>
          <t>说「打开设置」→ 再说「打开地图」→ 再说「打开微信」</t>
        </is>
      </c>
      <c r="F25" s="6" t="inlineStr">
        <is>
          <t>前两句切到 设置 / 驾驶 页并按切换结果回答；微信如实拒绝，不说已打开</t>
        </is>
      </c>
      <c r="G25" s="6" t="inlineStr">
        <is>
          <t>页面没切换却说已打开；声称打开了微信</t>
        </is>
      </c>
      <c r="H25" s="6" t="inlineStr">
        <is>
          <t>a8aa080</t>
        </is>
      </c>
      <c r="I25" s="7" t="inlineStr"/>
      <c r="J25" s="7" t="inlineStr"/>
      <c r="K25" s="7" t="inlineStr"/>
      <c r="L25" s="7" t="inlineStr"/>
    </row>
    <row r="26">
      <c r="A26" s="6" t="n">
        <v>25</v>
      </c>
      <c r="B26" s="6" t="inlineStr">
        <is>
          <t>3. 语音（M1 / M2）</t>
        </is>
      </c>
      <c r="C26" s="6" t="inlineStr">
        <is>
          <t>STATUS T-025 气泡（T-026）</t>
        </is>
      </c>
      <c r="D26" s="6" t="inlineStr">
        <is>
          <t>停车</t>
        </is>
      </c>
      <c r="E26" s="6" t="inlineStr">
        <is>
          <t>观察几次回复后的气泡</t>
        </is>
      </c>
      <c r="F26" s="6" t="inlineStr">
        <is>
          <t>她说话时气泡不消失；说完约 4 s + 每字 120 ms（最多 10 s）后 0.5 s 淡出；新对话立即替换</t>
        </is>
      </c>
      <c r="G26" s="6" t="inlineStr">
        <is>
          <t>说话时气泡消失；不淡出；新对话不替换</t>
        </is>
      </c>
      <c r="H26" s="6" t="inlineStr">
        <is>
          <t>a8aa080</t>
        </is>
      </c>
      <c r="I26" s="7" t="inlineStr"/>
      <c r="J26" s="7" t="inlineStr"/>
      <c r="K26" s="7" t="inlineStr"/>
      <c r="L26" s="7" t="inlineStr"/>
    </row>
    <row r="27">
      <c r="A27" s="6" t="n">
        <v>26</v>
      </c>
      <c r="B27" s="6" t="inlineStr">
        <is>
          <t>3. 语音（M1 / M2）</t>
        </is>
      </c>
      <c r="C27" s="6" t="inlineStr">
        <is>
          <t>STATUS F-02 end_conversation / set_speech_output</t>
        </is>
      </c>
      <c r="D27" s="6" t="inlineStr">
        <is>
          <t>停车；未导航</t>
        </is>
      </c>
      <c r="E27" s="6" t="inlineStr">
        <is>
          <t>说「别说了」→ 再说「打开空调」→「可以说话了」；最后说「没事了，你休息吧」</t>
        </is>
      </c>
      <c r="F27" s="6" t="inlineStr">
        <is>
          <t>「别说了」后继续听，下一句照常执行但不出声（已知：正在播的那句可能不被截断）；恢复后有声；道别一句后变 待命</t>
        </is>
      </c>
      <c r="G27" s="6" t="inlineStr">
        <is>
          <t>「别说了」后不执行下一句；恢复后仍无声；道别后不进 待命</t>
        </is>
      </c>
      <c r="H27" s="6" t="inlineStr">
        <is>
          <t>a8aa080</t>
        </is>
      </c>
      <c r="I27" s="7" t="inlineStr"/>
      <c r="J27" s="7" t="inlineStr"/>
      <c r="K27" s="7" t="inlineStr"/>
      <c r="L27" s="7" t="inlineStr"/>
    </row>
    <row r="28">
      <c r="A28" s="6" t="n">
        <v>27</v>
      </c>
      <c r="B28" s="6" t="inlineStr">
        <is>
          <t>3. 语音（M1 / M2）</t>
        </is>
      </c>
      <c r="C28" s="6" t="inlineStr">
        <is>
          <t>F-16a §10 #2</t>
        </is>
      </c>
      <c r="D28" s="6" t="inlineStr">
        <is>
          <t>停车或行驶（乘客看屏）</t>
        </is>
      </c>
      <c r="E28" s="6" t="inlineStr">
        <is>
          <t>手机定位已允许，问「我现在在哪？」</t>
        </is>
      </c>
      <c r="F28" s="6" t="inlineStr">
        <is>
          <t>只调用一次，说出真实位置的地址（区、路名），不编造</t>
        </is>
      </c>
      <c r="G28" s="6" t="inlineStr">
        <is>
          <t>地址编造或错误；重复调用</t>
        </is>
      </c>
      <c r="H28" s="8" t="inlineStr">
        <is>
          <t>新版本</t>
        </is>
      </c>
      <c r="I28" s="7" t="inlineStr"/>
      <c r="J28" s="7" t="inlineStr"/>
      <c r="K28" s="7" t="inlineStr"/>
      <c r="L28" s="7" t="inlineStr"/>
    </row>
    <row r="29">
      <c r="A29" s="6" t="n">
        <v>28</v>
      </c>
      <c r="B29" s="6" t="inlineStr">
        <is>
          <t>3. 语音（M1 / M2）</t>
        </is>
      </c>
      <c r="C29" s="6" t="inlineStr">
        <is>
          <t>F-16a §10 #3</t>
        </is>
      </c>
      <c r="D29" s="6" t="inlineStr">
        <is>
          <t>停车</t>
        </is>
      </c>
      <c r="E29" s="6" t="inlineStr">
        <is>
          <t>说「附近的加油站」；再问「今天天气怎么样」</t>
        </is>
      </c>
      <c r="F29" s="6" t="inlineStr">
        <is>
          <t>列表距离与真实位置相符；天气是当前所在城市</t>
        </is>
      </c>
      <c r="G29" s="6" t="inlineStr">
        <is>
          <t>加油站距离不对；天气城市不对</t>
        </is>
      </c>
      <c r="H29" s="6" t="inlineStr">
        <is>
          <t>a8aa080</t>
        </is>
      </c>
      <c r="I29" s="7" t="inlineStr"/>
      <c r="J29" s="7" t="inlineStr"/>
      <c r="K29" s="7" t="inlineStr"/>
      <c r="L29" s="7" t="inlineStr"/>
    </row>
    <row r="30">
      <c r="A30" s="6" t="n">
        <v>29</v>
      </c>
      <c r="B30" s="6" t="inlineStr">
        <is>
          <t>4. 导航（路线来自高德 Web，车辆移动为模拟，界面显示 模拟行驶）</t>
        </is>
      </c>
      <c r="C30" s="6" t="inlineStr">
        <is>
          <t>J2；B4；F-15 §10 #4；STATUS T-030/T-040</t>
        </is>
      </c>
      <c r="D30" s="6" t="inlineStr">
        <is>
          <t>停车</t>
        </is>
      </c>
      <c r="E30" s="6" t="inlineStr">
        <is>
          <t>说「导航去珠海站」→「第二个」→ 路线出来后说「开始导航」</t>
        </is>
      </c>
      <c r="F30" s="6" t="inlineStr">
        <is>
          <t>出现真实候选列表 → 路线列表（分钟 / 公里 / 红绿灯）→ 只启动一次导航，HUD 出现，显示 模拟行驶；在 开始导航 前她不说「已开始导航」（W7）</t>
        </is>
      </c>
      <c r="G30" s="6" t="inlineStr">
        <is>
          <t>没有候选列表；导航启动多次；没 HUD；提前说已开始导航</t>
        </is>
      </c>
      <c r="H30" s="6" t="inlineStr">
        <is>
          <t>a8aa080</t>
        </is>
      </c>
      <c r="I30" s="7" t="inlineStr"/>
      <c r="J30" s="7" t="inlineStr"/>
      <c r="K30" s="7" t="inlineStr"/>
      <c r="L30" s="7" t="inlineStr"/>
    </row>
    <row r="31">
      <c r="A31" s="6" t="n">
        <v>30</v>
      </c>
      <c r="B31" s="6" t="inlineStr">
        <is>
          <t>4. 导航（路线来自高德 Web，车辆移动为模拟，界面显示 模拟行驶）</t>
        </is>
      </c>
      <c r="C31" s="6" t="inlineStr">
        <is>
          <t>W8</t>
        </is>
      </c>
      <c r="D31" s="6" t="inlineStr">
        <is>
          <t>停车</t>
        </is>
      </c>
      <c r="E31" s="6" t="inlineStr">
        <is>
          <t>「导航去珠海站」→ 选一个 → 显示「正在计算路线…」时立刻说「算了」（可多试几次）</t>
        </is>
      </c>
      <c r="F31" s="6" t="inlineStr">
        <is>
          <t>回到空闲，不画路线，之后也不会突然出现路线</t>
        </is>
      </c>
      <c r="G31" s="6" t="inlineStr">
        <is>
          <t>说「算了」后仍出现路线</t>
        </is>
      </c>
      <c r="H31" s="6" t="inlineStr">
        <is>
          <t>a8aa080</t>
        </is>
      </c>
      <c r="I31" s="7" t="inlineStr"/>
      <c r="J31" s="7" t="inlineStr"/>
      <c r="K31" s="7" t="inlineStr"/>
      <c r="L31" s="7" t="inlineStr"/>
    </row>
    <row r="32">
      <c r="A32" s="6" t="n">
        <v>31</v>
      </c>
      <c r="B32" s="6" t="inlineStr">
        <is>
          <t>4. 导航（路线来自高德 Web，车辆移动为模拟，界面显示 模拟行驶）</t>
        </is>
      </c>
      <c r="C32" s="6" t="inlineStr">
        <is>
          <t>STATUS F-16（保存地点真机）</t>
        </is>
      </c>
      <c r="D32" s="6" t="inlineStr">
        <is>
          <t>停车；用公共地点，不用真实住址</t>
        </is>
      </c>
      <c r="E32" s="6" t="inlineStr">
        <is>
          <t>说「我家在珠海站」→ 再说「回家」</t>
        </is>
      </c>
      <c r="F32" s="6" t="inlineStr">
        <is>
          <t>如实说已保存（或如实说没存成）；「回家」直接算路线，不出现地点列表</t>
        </is>
      </c>
      <c r="G32" s="6" t="inlineStr">
        <is>
          <t>说保存了但没存；「回家」又出现地点列表</t>
        </is>
      </c>
      <c r="H32" s="6" t="inlineStr">
        <is>
          <t>a8aa080</t>
        </is>
      </c>
      <c r="I32" s="7" t="inlineStr"/>
      <c r="J32" s="7" t="inlineStr"/>
      <c r="K32" s="7" t="inlineStr"/>
      <c r="L32" s="7" t="inlineStr"/>
    </row>
    <row r="33">
      <c r="A33" s="6" t="n">
        <v>32</v>
      </c>
      <c r="B33" s="6" t="inlineStr">
        <is>
          <t>4. 导航（路线来自高德 Web，车辆移动为模拟，界面显示 模拟行驶）</t>
        </is>
      </c>
      <c r="C33" s="6" t="inlineStr">
        <is>
          <t>STATUS F-16（未设置公司 + 导航中）</t>
        </is>
      </c>
      <c r="D33" s="6" t="inlineStr">
        <is>
          <t>导航中（#29）</t>
        </is>
      </c>
      <c r="E33" s="6" t="inlineStr">
        <is>
          <t>说「去公司」</t>
        </is>
      </c>
      <c r="F33" s="6" t="inlineStr">
        <is>
          <t>说公司还没设置；当前导航不中断</t>
        </is>
      </c>
      <c r="G33" s="6" t="inlineStr">
        <is>
          <t>当前导航被中断；没说公司未设置</t>
        </is>
      </c>
      <c r="H33" s="6" t="inlineStr">
        <is>
          <t>a8aa080</t>
        </is>
      </c>
      <c r="I33" s="7" t="inlineStr"/>
      <c r="J33" s="7" t="inlineStr"/>
      <c r="K33" s="7" t="inlineStr"/>
      <c r="L33" s="7" t="inlineStr"/>
    </row>
    <row r="34">
      <c r="A34" s="6" t="n">
        <v>33</v>
      </c>
      <c r="B34" s="6" t="inlineStr">
        <is>
          <t>4. 导航（路线来自高德 Web，车辆移动为模拟，界面显示 模拟行驶）</t>
        </is>
      </c>
      <c r="C34" s="6" t="inlineStr">
        <is>
          <t>J3；B5</t>
        </is>
      </c>
      <c r="D34" s="6" t="inlineStr">
        <is>
          <t>导航中</t>
        </is>
      </c>
      <c r="E34" s="6" t="inlineStr">
        <is>
          <t>问「还有多久到？」「前面堵不堵？」</t>
        </is>
      </c>
      <c r="F34" s="6" t="inlineStr">
        <is>
          <t>按路线数据回答；导航和路线保持不变</t>
        </is>
      </c>
      <c r="G34" s="6" t="inlineStr">
        <is>
          <t>回答与路线数据不符；导航被改变</t>
        </is>
      </c>
      <c r="H34" s="6" t="inlineStr">
        <is>
          <t>a8aa080</t>
        </is>
      </c>
      <c r="I34" s="7" t="inlineStr"/>
      <c r="J34" s="7" t="inlineStr"/>
      <c r="K34" s="7" t="inlineStr"/>
      <c r="L34" s="7" t="inlineStr"/>
    </row>
    <row r="35">
      <c r="A35" s="6" t="n">
        <v>34</v>
      </c>
      <c r="B35" s="6" t="inlineStr">
        <is>
          <t>4. 导航（路线来自高德 Web，车辆移动为模拟，界面显示 模拟行驶）</t>
        </is>
      </c>
      <c r="C35" s="6" t="inlineStr">
        <is>
          <t>STATUS T-042/T-046（沿途）</t>
        </is>
      </c>
      <c r="D35" s="6" t="inlineStr">
        <is>
          <t>导航中</t>
        </is>
      </c>
      <c r="E35" s="6" t="inlineStr">
        <is>
          <t>问「路上有加油站吗」→ 说「第一个」；再试一次说「算了」</t>
        </is>
      </c>
      <c r="F35" s="6" t="inlineStr">
        <is>
          <t>列表出现；选中后路线被替换、继续导航；「算了」只关列表，导航继续</t>
        </is>
      </c>
      <c r="G35" s="6" t="inlineStr">
        <is>
          <t>没出现列表；选中后路线不变；「算了」把导航也停了</t>
        </is>
      </c>
      <c r="H35" s="6" t="inlineStr">
        <is>
          <t>a8aa080</t>
        </is>
      </c>
      <c r="I35" s="7" t="inlineStr"/>
      <c r="J35" s="7" t="inlineStr"/>
      <c r="K35" s="7" t="inlineStr"/>
      <c r="L35" s="7" t="inlineStr"/>
    </row>
    <row r="36">
      <c r="A36" s="6" t="n">
        <v>35</v>
      </c>
      <c r="B36" s="6" t="inlineStr">
        <is>
          <t>4. 导航（路线来自高德 Web，车辆移动为模拟，界面显示 模拟行驶）</t>
        </is>
      </c>
      <c r="C36" s="6" t="inlineStr">
        <is>
          <t>W5（T-054）；F-14 §10 #1；F-08 §10 #2–3；B6 ⏱</t>
        </is>
      </c>
      <c r="D36" s="6" t="inlineStr">
        <is>
          <t>导航中，HUD 距下一个转弯 &lt; 150 m 时</t>
        </is>
      </c>
      <c r="E36" s="6" t="inlineStr">
        <is>
          <t>问「还有多久到？」</t>
        </is>
      </c>
      <c r="F36" s="6" t="inlineStr">
        <is>
          <t>导航播报先说，回复在播报后约 0.5 s 再说；两者不重叠；每句导航只播一次；回复最多被压住 8 s</t>
        </is>
      </c>
      <c r="G36" s="6" t="inlineStr">
        <is>
          <t>回复与播报重叠；播报重复；回复被压 &gt; 8 s</t>
        </is>
      </c>
      <c r="H36" s="6" t="inlineStr">
        <is>
          <t>a8aa080</t>
        </is>
      </c>
      <c r="I36" s="7" t="inlineStr"/>
      <c r="J36" s="7" t="inlineStr"/>
      <c r="K36" s="7" t="inlineStr"/>
      <c r="L36" s="7" t="inlineStr"/>
    </row>
    <row r="37">
      <c r="A37" s="6" t="n">
        <v>36</v>
      </c>
      <c r="B37" s="6" t="inlineStr">
        <is>
          <t>4. 导航（路线来自高德 Web，车辆移动为模拟，界面显示 模拟行驶）</t>
        </is>
      </c>
      <c r="C37" s="6" t="inlineStr">
        <is>
          <t>F-14 §10 #2；OQ-IOS-10（T-050）</t>
        </is>
      </c>
      <c r="D37" s="6" t="inlineStr">
        <is>
          <t>停车；导航中</t>
        </is>
      </c>
      <c r="E37" s="6" t="inlineStr">
        <is>
          <t>点 结束对话，继续模拟行驶 1–2 分钟</t>
        </is>
      </c>
      <c r="F37" s="6" t="inlineStr">
        <is>
          <t>导航播报改用系统语音继续，每句一次，不重叠</t>
        </is>
      </c>
      <c r="G37" s="6" t="inlineStr">
        <is>
          <t>结束对话后导航播报停了；播报重叠或重复</t>
        </is>
      </c>
      <c r="H37" s="6" t="inlineStr">
        <is>
          <t>a8aa080</t>
        </is>
      </c>
      <c r="I37" s="7" t="inlineStr"/>
      <c r="J37" s="7" t="inlineStr"/>
      <c r="K37" s="7" t="inlineStr"/>
      <c r="L37" s="7" t="inlineStr"/>
    </row>
    <row r="38">
      <c r="A38" s="6" t="n">
        <v>37</v>
      </c>
      <c r="B38" s="6" t="inlineStr">
        <is>
          <t>4. 导航（路线来自高德 Web，车辆移动为模拟，界面显示 模拟行驶）</t>
        </is>
      </c>
      <c r="C38" s="6" t="inlineStr">
        <is>
          <t>STATUS T-045/T-053（F-17 真机）</t>
        </is>
      </c>
      <c r="D38" s="6" t="inlineStr">
        <is>
          <t>导航中</t>
        </is>
      </c>
      <c r="E38" s="6" t="inlineStr">
        <is>
          <t>看 HUD；若模拟速度超过限速，听提示</t>
        </is>
      </c>
      <c r="F38" s="6" t="inlineStr">
        <is>
          <t>HUD 显示转向、距离、道路；没有数据的项不乱填；超速提示每次超速只说一次、间隔 ≥ 10 s（若没超速，写 NOT_VERIFIED）</t>
        </is>
      </c>
      <c r="G38" s="6" t="inlineStr">
        <is>
          <t>HUD 乱填数据；超速提示重复或间隔 &lt; 10 s</t>
        </is>
      </c>
      <c r="H38" s="6" t="inlineStr">
        <is>
          <t>a8aa080</t>
        </is>
      </c>
      <c r="I38" s="7" t="inlineStr"/>
      <c r="J38" s="7" t="inlineStr"/>
      <c r="K38" s="7" t="inlineStr"/>
      <c r="L38" s="7" t="inlineStr"/>
    </row>
    <row r="39">
      <c r="A39" s="6" t="n">
        <v>38</v>
      </c>
      <c r="B39" s="6" t="inlineStr">
        <is>
          <t>4. 导航（路线来自高德 Web，车辆移动为模拟，界面显示 模拟行驶）</t>
        </is>
      </c>
      <c r="C39" s="6" t="inlineStr">
        <is>
          <t>STATUS F-02（导航中道别）</t>
        </is>
      </c>
      <c r="D39" s="6" t="inlineStr">
        <is>
          <t>导航中</t>
        </is>
      </c>
      <c r="E39" s="6" t="inlineStr">
        <is>
          <t>说「没事了，你休息吧」</t>
        </is>
      </c>
      <c r="F39" s="6" t="inlineStr">
        <is>
          <t>她道别、进 待命，导航和播报继续</t>
        </is>
      </c>
      <c r="G39" s="6" t="inlineStr">
        <is>
          <t>道别后导航或播报停了</t>
        </is>
      </c>
      <c r="H39" s="6" t="inlineStr">
        <is>
          <t>a8aa080</t>
        </is>
      </c>
      <c r="I39" s="7" t="inlineStr"/>
      <c r="J39" s="7" t="inlineStr"/>
      <c r="K39" s="7" t="inlineStr"/>
      <c r="L39" s="7" t="inlineStr"/>
    </row>
    <row r="40">
      <c r="A40" s="6" t="n">
        <v>39</v>
      </c>
      <c r="B40" s="6" t="inlineStr">
        <is>
          <t>5. 摄像头（F-20a 前方 / F-20b 后方）</t>
        </is>
      </c>
      <c r="C40" s="6" t="inlineStr">
        <is>
          <t>F-20a §10 #1 ⏱</t>
        </is>
      </c>
      <c r="D40" s="6" t="inlineStr">
        <is>
          <t>停车</t>
        </is>
      </c>
      <c r="E40" s="6" t="inlineStr">
        <is>
          <t>点摄像头图标</t>
        </is>
      </c>
      <c r="F40" s="6" t="inlineStr">
        <is>
          <t>1.5 s 内出现小窗实时画面，左上角 前方</t>
        </is>
      </c>
      <c r="G40" s="6" t="inlineStr">
        <is>
          <t>画面 &gt; 1.5 s 才出现；没有 前方 标签；黑屏</t>
        </is>
      </c>
      <c r="H40" s="6" t="inlineStr">
        <is>
          <t>a8aa080</t>
        </is>
      </c>
      <c r="I40" s="7" t="inlineStr"/>
      <c r="J40" s="7" t="inlineStr"/>
      <c r="K40" s="7" t="inlineStr"/>
      <c r="L40" s="7" t="inlineStr"/>
    </row>
    <row r="41">
      <c r="A41" s="6" t="n">
        <v>40</v>
      </c>
      <c r="B41" s="6" t="inlineStr">
        <is>
          <t>5. 摄像头（F-20a 前方 / F-20b 后方）</t>
        </is>
      </c>
      <c r="C41" s="6" t="inlineStr">
        <is>
          <t>F-20a §10 #2</t>
        </is>
      </c>
      <c r="D41" s="6" t="inlineStr">
        <is>
          <t>停车；对话进行中</t>
        </is>
      </c>
      <c r="E41" s="6" t="inlineStr">
        <is>
          <t>在 3 个不同场景各问「前面是什么？」</t>
        </is>
      </c>
      <c r="F41" s="6" t="inlineStr">
        <is>
          <t>每次显示「看画面中…」，一次回答，内容与画面相符；看不清就说看不清</t>
        </is>
      </c>
      <c r="G41" s="6" t="inlineStr">
        <is>
          <t>没有「看画面中…」；回答多次；描述与画面不符或编造</t>
        </is>
      </c>
      <c r="H41" s="6" t="inlineStr">
        <is>
          <t>a8aa080</t>
        </is>
      </c>
      <c r="I41" s="7" t="inlineStr"/>
      <c r="J41" s="7" t="inlineStr"/>
      <c r="K41" s="7" t="inlineStr"/>
      <c r="L41" s="7" t="inlineStr"/>
    </row>
    <row r="42">
      <c r="A42" s="6" t="n">
        <v>41</v>
      </c>
      <c r="B42" s="6" t="inlineStr">
        <is>
          <t>5. 摄像头（F-20a 前方 / F-20b 后方）</t>
        </is>
      </c>
      <c r="C42" s="6" t="inlineStr">
        <is>
          <t>F-20a §10 #3</t>
        </is>
      </c>
      <c r="D42" s="6" t="inlineStr">
        <is>
          <t>停车</t>
        </is>
      </c>
      <c r="E42" s="6" t="inlineStr">
        <is>
          <t>点 问一下（不说话）</t>
        </is>
      </c>
      <c r="F42" s="6" t="inlineStr">
        <is>
          <t>给出画面描述（气泡显示，会话中会读出）</t>
        </is>
      </c>
      <c r="G42" s="6" t="inlineStr">
        <is>
          <t>没有描述；没有气泡</t>
        </is>
      </c>
      <c r="H42" s="6" t="inlineStr">
        <is>
          <t>a8aa080</t>
        </is>
      </c>
      <c r="I42" s="7" t="inlineStr"/>
      <c r="J42" s="7" t="inlineStr"/>
      <c r="K42" s="7" t="inlineStr"/>
      <c r="L42" s="7" t="inlineStr"/>
    </row>
    <row r="43">
      <c r="A43" s="6" t="n">
        <v>42</v>
      </c>
      <c r="B43" s="6" t="inlineStr">
        <is>
          <t>5. 摄像头（F-20a 前方 / F-20b 后方）</t>
        </is>
      </c>
      <c r="C43" s="6" t="inlineStr">
        <is>
          <t>STATUS T-071a-d（方向）</t>
        </is>
      </c>
      <c r="D43" s="6" t="inlineStr">
        <is>
          <t>停车</t>
        </is>
      </c>
      <c r="E43" s="6" t="inlineStr">
        <is>
          <t>横竖转动手机，看小窗画面</t>
        </is>
      </c>
      <c r="F43" s="6" t="inlineStr">
        <is>
          <t>画面方向正确，不倒置不侧躺</t>
        </is>
      </c>
      <c r="G43" s="6" t="inlineStr">
        <is>
          <t>画面倒置或侧躺</t>
        </is>
      </c>
      <c r="H43" s="6" t="inlineStr">
        <is>
          <t>a8aa080</t>
        </is>
      </c>
      <c r="I43" s="7" t="inlineStr"/>
      <c r="J43" s="7" t="inlineStr"/>
      <c r="K43" s="7" t="inlineStr"/>
      <c r="L43" s="7" t="inlineStr"/>
    </row>
    <row r="44">
      <c r="A44" s="6" t="n">
        <v>43</v>
      </c>
      <c r="B44" s="6" t="inlineStr">
        <is>
          <t>5. 摄像头（F-20a 前方 / F-20b 后方）</t>
        </is>
      </c>
      <c r="C44" s="6" t="inlineStr">
        <is>
          <t>F-20b §10 #1 ⏱</t>
        </is>
      </c>
      <c r="D44" s="6" t="inlineStr">
        <is>
          <t>停车</t>
        </is>
      </c>
      <c r="E44" s="6" t="inlineStr">
        <is>
          <t>点切换按钮两次</t>
        </is>
      </c>
      <c r="F44" s="6" t="inlineStr">
        <is>
          <t>每次 1 s 内换到另一个镜头，标签 前方 / 后方 跟着变</t>
        </is>
      </c>
      <c r="G44" s="6" t="inlineStr">
        <is>
          <t>切换 &gt; 1 s；标签没跟着变；画面卡住</t>
        </is>
      </c>
      <c r="H44" s="6" t="inlineStr">
        <is>
          <t>a8aa080</t>
        </is>
      </c>
      <c r="I44" s="7" t="inlineStr"/>
      <c r="J44" s="7" t="inlineStr"/>
      <c r="K44" s="7" t="inlineStr"/>
      <c r="L44" s="7" t="inlineStr"/>
    </row>
    <row r="45">
      <c r="A45" s="6" t="n">
        <v>44</v>
      </c>
      <c r="B45" s="6" t="inlineStr">
        <is>
          <t>5. 摄像头（F-20a 前方 / F-20b 后方）</t>
        </is>
      </c>
      <c r="C45" s="6" t="inlineStr">
        <is>
          <t>F-20b §10 #2</t>
        </is>
      </c>
      <c r="D45" s="6" t="inlineStr">
        <is>
          <t>停车；小窗显示 前方</t>
        </is>
      </c>
      <c r="E45" s="6" t="inlineStr">
        <is>
          <t>在 3 个场景各问「后面是什么？」（每次先切回 前方）</t>
        </is>
      </c>
      <c r="F45" s="6" t="inlineStr">
        <is>
          <t>小窗先切到 后方 再拍；回答说的是车内 / 后方，与画面相符</t>
        </is>
      </c>
      <c r="G45" s="6" t="inlineStr">
        <is>
          <t>没先切到 后方 就回答；描述的是前方画面</t>
        </is>
      </c>
      <c r="H45" s="6" t="inlineStr">
        <is>
          <t>a8aa080</t>
        </is>
      </c>
      <c r="I45" s="7" t="inlineStr"/>
      <c r="J45" s="7" t="inlineStr"/>
      <c r="K45" s="7" t="inlineStr"/>
      <c r="L45" s="7" t="inlineStr"/>
    </row>
    <row r="46">
      <c r="A46" s="6" t="n">
        <v>45</v>
      </c>
      <c r="B46" s="6" t="inlineStr">
        <is>
          <t>5. 摄像头（F-20a 前方 / F-20b 后方）</t>
        </is>
      </c>
      <c r="C46" s="6" t="inlineStr">
        <is>
          <t>F-20b §10 #5</t>
        </is>
      </c>
      <c r="D46" s="6" t="inlineStr">
        <is>
          <t>停车；后方</t>
        </is>
      </c>
      <c r="E46" s="6" t="inlineStr">
        <is>
          <t>举一张写着清楚文字的纸（如「ABC 123」）在前摄前，问「车里那张纸上写的什么？」</t>
        </is>
      </c>
      <c r="F46" s="6" t="inlineStr">
        <is>
          <t>文字读对（没有左右镜像）</t>
        </is>
      </c>
      <c r="G46" s="6" t="inlineStr">
        <is>
          <t>文字左右镜像；读错</t>
        </is>
      </c>
      <c r="H46" s="6" t="inlineStr">
        <is>
          <t>a8aa080</t>
        </is>
      </c>
      <c r="I46" s="7" t="inlineStr"/>
      <c r="J46" s="7" t="inlineStr"/>
      <c r="K46" s="7" t="inlineStr"/>
      <c r="L46" s="7" t="inlineStr"/>
    </row>
    <row r="47">
      <c r="A47" s="6" t="n">
        <v>46</v>
      </c>
      <c r="B47" s="6" t="inlineStr">
        <is>
          <t>5. 摄像头（F-20a 前方 / F-20b 后方）</t>
        </is>
      </c>
      <c r="C47" s="6" t="inlineStr">
        <is>
          <t>F-20a §10 #6；F-20b §10 #6</t>
        </is>
      </c>
      <c r="D47" s="6" t="inlineStr">
        <is>
          <t>停车</t>
        </is>
      </c>
      <c r="E47" s="6" t="inlineStr">
        <is>
          <t>分别在 前方 和 后方 时点 × 关闭</t>
        </is>
      </c>
      <c r="F47" s="6" t="inlineStr">
        <is>
          <t>两种情况下状态栏绿色摄像头点都在约 1 s 内消失</t>
        </is>
      </c>
      <c r="G47" s="6" t="inlineStr">
        <is>
          <t>关闭后绿色摄像头点不消失</t>
        </is>
      </c>
      <c r="H47" s="6" t="inlineStr">
        <is>
          <t>a8aa080</t>
        </is>
      </c>
      <c r="I47" s="7" t="inlineStr"/>
      <c r="J47" s="7" t="inlineStr"/>
      <c r="K47" s="7" t="inlineStr"/>
      <c r="L47" s="7" t="inlineStr"/>
    </row>
    <row r="48">
      <c r="A48" s="6" t="n">
        <v>47</v>
      </c>
      <c r="B48" s="6" t="inlineStr">
        <is>
          <t>6. 回声与噪声（F-03 / F-04a）</t>
        </is>
      </c>
      <c r="C48" s="6" t="inlineStr">
        <is>
          <t>T-001；F-03 §10 #1；release-plan W1</t>
        </is>
      </c>
      <c r="D48" s="6" t="inlineStr">
        <is>
          <t>停车，车内安静，音量最大，扬声器</t>
        </is>
      </c>
      <c r="E48" s="6" t="inlineStr">
        <is>
          <t>音频测试 → 打开 Apple 回声消除 → 开始测试（约 30 秒）；做两轮</t>
        </is>
      </c>
      <c r="F48" s="6" t="inlineStr">
        <is>
          <t>每轮 ≥ 9/10 次门保持关闭；把两轮的数字（峰值 RMS 等）抄在备注</t>
        </is>
      </c>
      <c r="G48" s="6" t="inlineStr">
        <is>
          <t>门打开超过 1/10 次；测试中断</t>
        </is>
      </c>
      <c r="H48" s="6" t="inlineStr">
        <is>
          <t>a8aa080</t>
        </is>
      </c>
      <c r="I48" s="7" t="inlineStr"/>
      <c r="J48" s="7" t="inlineStr"/>
      <c r="K48" s="7" t="inlineStr"/>
      <c r="L48" s="7" t="inlineStr"/>
    </row>
    <row r="49">
      <c r="A49" s="6" t="n">
        <v>48</v>
      </c>
      <c r="B49" s="6" t="inlineStr">
        <is>
          <t>6. 回声与噪声（F-03 / F-04a）</t>
        </is>
      </c>
      <c r="C49" s="6" t="inlineStr">
        <is>
          <t>G0</t>
        </is>
      </c>
      <c r="D49" s="6" t="inlineStr">
        <is>
          <t>#47 之后</t>
        </is>
      </c>
      <c r="E49" s="6" t="inlineStr">
        <is>
          <t>车主根据 #47 决定：继续用 Apple 语音处理（GO）或改用 WebRTC AEC3</t>
        </is>
      </c>
      <c r="F49" s="6" t="inlineStr">
        <is>
          <t>决定写进 STATUS.md</t>
        </is>
      </c>
      <c r="G49" s="6" t="inlineStr">
        <is>
          <t>—</t>
        </is>
      </c>
      <c r="H49" s="6" t="inlineStr">
        <is>
          <t>—</t>
        </is>
      </c>
      <c r="I49" s="7" t="inlineStr"/>
      <c r="J49" s="7" t="inlineStr"/>
      <c r="K49" s="7" t="inlineStr"/>
      <c r="L49" s="7" t="inlineStr"/>
    </row>
    <row r="50">
      <c r="A50" s="6" t="n">
        <v>49</v>
      </c>
      <c r="B50" s="6" t="inlineStr">
        <is>
          <t>6. 回声与噪声（F-03 / F-04a）</t>
        </is>
      </c>
      <c r="C50" s="6" t="inlineStr">
        <is>
          <t>F-04a §10 #4（ECHO-001）</t>
        </is>
      </c>
      <c r="D50" s="6" t="inlineStr">
        <is>
          <t>停车；对话中；音量最大</t>
        </is>
      </c>
      <c r="E50" s="6" t="inlineStr">
        <is>
          <t>让她回答 10 次较长的问题，期间你不说话</t>
        </is>
      </c>
      <c r="F50" s="6" t="inlineStr">
        <is>
          <t>10 次都没有被自己的声音打断，状态不跳 聆听中</t>
        </is>
      </c>
      <c r="G50" s="6" t="inlineStr">
        <is>
          <t>被自己的声音打断；状态跳 聆听中</t>
        </is>
      </c>
      <c r="H50" s="8" t="inlineStr">
        <is>
          <t>新版本</t>
        </is>
      </c>
      <c r="I50" s="7" t="inlineStr"/>
      <c r="J50" s="7" t="inlineStr"/>
      <c r="K50" s="7" t="inlineStr"/>
      <c r="L50" s="7" t="inlineStr"/>
    </row>
    <row r="51">
      <c r="A51" s="6" t="n">
        <v>50</v>
      </c>
      <c r="B51" s="6" t="inlineStr">
        <is>
          <t>6. 回声与噪声（F-03 / F-04a）</t>
        </is>
      </c>
      <c r="C51" s="6" t="inlineStr">
        <is>
          <t>F-04a §10 #7</t>
        </is>
      </c>
      <c r="D51" s="6" t="inlineStr">
        <is>
          <t>停车；对话中</t>
        </is>
      </c>
      <c r="E51" s="6" t="inlineStr">
        <is>
          <t>打开 音频测试 页，看「抗噪」那一行；制造一个非人声（拍手、关门）</t>
        </is>
      </c>
      <c r="F51" s="6" t="inlineStr">
        <is>
          <t>显示 语音概率、噪声 dB、上次拒绝原因（新版本为中文原因）</t>
        </is>
      </c>
      <c r="G51" s="6" t="inlineStr">
        <is>
          <t>抗噪行不显示；数值不变；拒绝原因不是中文</t>
        </is>
      </c>
      <c r="H51" s="8" t="inlineStr">
        <is>
          <t>新版本</t>
        </is>
      </c>
      <c r="I51" s="7" t="inlineStr"/>
      <c r="J51" s="7" t="inlineStr"/>
      <c r="K51" s="7" t="inlineStr"/>
      <c r="L51" s="7" t="inlineStr"/>
    </row>
    <row r="52">
      <c r="A52" s="6" t="n">
        <v>51</v>
      </c>
      <c r="B52" s="6" t="inlineStr">
        <is>
          <t>6. 回声与噪声（F-03 / F-04a）</t>
        </is>
      </c>
      <c r="C52" s="6" t="inlineStr">
        <is>
          <t>F-04a §10 #3</t>
        </is>
      </c>
      <c r="D52" s="6" t="inlineStr">
        <is>
          <t>停车；她在说话</t>
        </is>
      </c>
      <c r="E52" s="6" t="inlineStr">
        <is>
          <t>用另一台手机播放喇叭声，再放纯音乐；然后你说「停一下」</t>
        </is>
      </c>
      <c r="F52" s="6" t="inlineStr">
        <is>
          <t>喇叭和音乐都不打断她；「停一下」立即打断</t>
        </is>
      </c>
      <c r="G52" s="6" t="inlineStr">
        <is>
          <t>喇叭或音乐打断她；「停一下」不打断</t>
        </is>
      </c>
      <c r="H52" s="8" t="inlineStr">
        <is>
          <t>新版本</t>
        </is>
      </c>
      <c r="I52" s="7" t="inlineStr"/>
      <c r="J52" s="7" t="inlineStr"/>
      <c r="K52" s="7" t="inlineStr"/>
      <c r="L52" s="7" t="inlineStr"/>
    </row>
    <row r="53">
      <c r="A53" s="6" t="n">
        <v>52</v>
      </c>
      <c r="B53" s="6" t="inlineStr">
        <is>
          <t>6. 回声与噪声（F-03 / F-04a）</t>
        </is>
      </c>
      <c r="C53" s="6" t="inlineStr">
        <is>
          <t>F-04a §10 #2</t>
        </is>
      </c>
      <c r="D53" s="6" t="inlineStr">
        <is>
          <t>行驶，正常车速，可开一点窗加大路噪；乘客记录</t>
        </is>
      </c>
      <c r="E53" s="6" t="inlineStr">
        <is>
          <t>安静 1 分钟，再说「把温度调低一点」；重复 5 次</t>
        </is>
      </c>
      <c r="F53" s="6" t="inlineStr">
        <is>
          <t>安静时不进入 聆听中、不误触发；说话时被识别，第一个字不丢，没有明显额外延迟</t>
        </is>
      </c>
      <c r="G53" s="6" t="inlineStr">
        <is>
          <t>安静时误触发 聆听中；说话没识别；第一个字丢失；明显延迟</t>
        </is>
      </c>
      <c r="H53" s="8" t="inlineStr">
        <is>
          <t>新版本</t>
        </is>
      </c>
      <c r="I53" s="7" t="inlineStr"/>
      <c r="J53" s="7" t="inlineStr"/>
      <c r="K53" s="7" t="inlineStr"/>
      <c r="L53" s="7" t="inlineStr"/>
    </row>
    <row r="54">
      <c r="A54" s="6" t="n">
        <v>53</v>
      </c>
      <c r="B54" s="6" t="inlineStr">
        <is>
          <t>7. 生命周期与唤醒（F-01 / F-23，T-064）</t>
        </is>
      </c>
      <c r="C54" s="6" t="inlineStr">
        <is>
          <t>F-01 §10 #1（T-064）</t>
        </is>
      </c>
      <c r="D54" s="6" t="inlineStr">
        <is>
          <t>停车；讯飞三个值已保存；App 在前台 待命</t>
        </is>
      </c>
      <c r="E54" s="6" t="inlineStr">
        <is>
          <t>说「你好小诺」</t>
        </is>
      </c>
      <c r="F54" s="6" t="inlineStr">
        <is>
          <t>很快变 聆听中，只启动一次会话（没有重复问候 / 重连）</t>
        </is>
      </c>
      <c r="G54" s="6" t="inlineStr">
        <is>
          <t>没反应；会话启动两次（重复问候 / 重连）</t>
        </is>
      </c>
      <c r="H54" s="6" t="inlineStr">
        <is>
          <t>a8aa080</t>
        </is>
      </c>
      <c r="I54" s="7" t="inlineStr"/>
      <c r="J54" s="7" t="inlineStr"/>
      <c r="K54" s="7" t="inlineStr"/>
      <c r="L54" s="7" t="inlineStr"/>
    </row>
    <row r="55">
      <c r="A55" s="6" t="n">
        <v>54</v>
      </c>
      <c r="B55" s="6" t="inlineStr">
        <is>
          <t>7. 生命周期与唤醒（F-01 / F-23，T-064）</t>
        </is>
      </c>
      <c r="C55" s="6" t="inlineStr">
        <is>
          <t>F-01 §10 #2（T-064）</t>
        </is>
      </c>
      <c r="D55" s="6" t="inlineStr">
        <is>
          <t>对话进行中</t>
        </is>
      </c>
      <c r="E55" s="6" t="inlineStr">
        <is>
          <t>再说一次「你好小诺」</t>
        </is>
      </c>
      <c r="F55" s="6" t="inlineStr">
        <is>
          <t>不重启，当前对话继续</t>
        </is>
      </c>
      <c r="G55" s="6" t="inlineStr">
        <is>
          <t>对话被重启</t>
        </is>
      </c>
      <c r="H55" s="6" t="inlineStr">
        <is>
          <t>a8aa080</t>
        </is>
      </c>
      <c r="I55" s="7" t="inlineStr"/>
      <c r="J55" s="7" t="inlineStr"/>
      <c r="K55" s="7" t="inlineStr"/>
      <c r="L55" s="7" t="inlineStr"/>
    </row>
    <row r="56">
      <c r="A56" s="6" t="n">
        <v>55</v>
      </c>
      <c r="B56" s="6" t="inlineStr">
        <is>
          <t>7. 生命周期与唤醒（F-01 / F-23，T-064）</t>
        </is>
      </c>
      <c r="C56" s="6" t="inlineStr">
        <is>
          <t>F-23 §10 #2；ios-architecture §11.3（T-064）</t>
        </is>
      </c>
      <c r="D56" s="6" t="inlineStr">
        <is>
          <t>停车；导航中（模拟行驶）</t>
        </is>
      </c>
      <c r="E56" s="6" t="inlineStr">
        <is>
          <t>锁屏 1–2 分钟，期间问「还有多久到？」；解锁</t>
        </is>
      </c>
      <c r="F56" s="6" t="inlineStr">
        <is>
          <t>锁屏时导航播报继续，麦克风橙点在，问答正常；解锁后仍在导航</t>
        </is>
      </c>
      <c r="G56" s="6" t="inlineStr">
        <is>
          <t>锁屏后播报停止；问答失败；解锁后导航没了</t>
        </is>
      </c>
      <c r="H56" s="6" t="inlineStr">
        <is>
          <t>a8aa080</t>
        </is>
      </c>
      <c r="I56" s="7" t="inlineStr"/>
      <c r="J56" s="7" t="inlineStr"/>
      <c r="K56" s="7" t="inlineStr"/>
      <c r="L56" s="7" t="inlineStr"/>
    </row>
    <row r="57">
      <c r="A57" s="6" t="n">
        <v>56</v>
      </c>
      <c r="B57" s="6" t="inlineStr">
        <is>
          <t>7. 生命周期与唤醒（F-01 / F-23，T-064）</t>
        </is>
      </c>
      <c r="C57" s="6" t="inlineStr">
        <is>
          <t>F-23 §10 #2；§11.3</t>
        </is>
      </c>
      <c r="D57" s="6" t="inlineStr">
        <is>
          <t>停车；对话中，未导航</t>
        </is>
      </c>
      <c r="E57" s="6" t="inlineStr">
        <is>
          <t>她说话时回到主屏幕，等 1 分钟后回来</t>
        </is>
      </c>
      <c r="F57" s="6" t="inlineStr">
        <is>
          <t>当前这一轮说完后进入 待命，麦克风橙点消失；回来后可再开始</t>
        </is>
      </c>
      <c r="G57" s="6" t="inlineStr">
        <is>
          <t>回主屏后麦克风橙点不消失；回来后无法再开始</t>
        </is>
      </c>
      <c r="H57" s="6" t="inlineStr">
        <is>
          <t>a8aa080</t>
        </is>
      </c>
      <c r="I57" s="7" t="inlineStr"/>
      <c r="J57" s="7" t="inlineStr"/>
      <c r="K57" s="7" t="inlineStr"/>
      <c r="L57" s="7" t="inlineStr"/>
    </row>
    <row r="58">
      <c r="A58" s="6" t="n">
        <v>57</v>
      </c>
      <c r="B58" s="6" t="inlineStr">
        <is>
          <t>7. 生命周期与唤醒（F-01 / F-23，T-064）</t>
        </is>
      </c>
      <c r="C58" s="6" t="inlineStr">
        <is>
          <t>F-23 §10 #2；§11.3</t>
        </is>
      </c>
      <c r="D58" s="6" t="inlineStr">
        <is>
          <t>停车；待命，未导航</t>
        </is>
      </c>
      <c r="E58" s="6" t="inlineStr">
        <is>
          <t>回到主屏幕</t>
        </is>
      </c>
      <c r="F58" s="6" t="inlineStr">
        <is>
          <t>麦克风橙点马上消失；回到 App 后「你好小诺」能唤醒</t>
        </is>
      </c>
      <c r="G58" s="6" t="inlineStr">
        <is>
          <t>橙点不消失；「你好小诺」唤醒不了</t>
        </is>
      </c>
      <c r="H58" s="6" t="inlineStr">
        <is>
          <t>a8aa080</t>
        </is>
      </c>
      <c r="I58" s="7" t="inlineStr"/>
      <c r="J58" s="7" t="inlineStr"/>
      <c r="K58" s="7" t="inlineStr"/>
      <c r="L58" s="7" t="inlineStr"/>
    </row>
    <row r="59">
      <c r="A59" s="6" t="n">
        <v>58</v>
      </c>
      <c r="B59" s="6" t="inlineStr">
        <is>
          <t>7. 生命周期与唤醒（F-01 / F-23，T-064）</t>
        </is>
      </c>
      <c r="C59" s="6" t="inlineStr">
        <is>
          <t>F-23 §9；F-20a §5</t>
        </is>
      </c>
      <c r="D59" s="6" t="inlineStr">
        <is>
          <t>停车；摄像头小窗打开</t>
        </is>
      </c>
      <c r="E59" s="6" t="inlineStr">
        <is>
          <t>回到主屏幕</t>
        </is>
      </c>
      <c r="F59" s="6" t="inlineStr">
        <is>
          <t>绿色摄像头点 1 s 内消失；回来后小窗已关</t>
        </is>
      </c>
      <c r="G59" s="6" t="inlineStr">
        <is>
          <t>绿点不消失；回来后小窗仍开着</t>
        </is>
      </c>
      <c r="H59" s="6" t="inlineStr">
        <is>
          <t>a8aa080</t>
        </is>
      </c>
      <c r="I59" s="7" t="inlineStr"/>
      <c r="J59" s="7" t="inlineStr"/>
      <c r="K59" s="7" t="inlineStr"/>
      <c r="L59" s="7" t="inlineStr"/>
    </row>
    <row r="60">
      <c r="A60" s="6" t="n">
        <v>59</v>
      </c>
      <c r="B60" s="6" t="inlineStr">
        <is>
          <t>8. 演示录制（demo-recording.md）</t>
        </is>
      </c>
      <c r="C60" s="6" t="inlineStr">
        <is>
          <t>demo-recording §3.1 第 4 步</t>
        </is>
      </c>
      <c r="D60" s="6" t="inlineStr">
        <is>
          <t>停车</t>
        </is>
      </c>
      <c r="E60" s="6" t="inlineStr">
        <is>
          <t>录 10–15 秒屏幕录制（麦克风开），在照片里回放</t>
        </is>
      </c>
      <c r="F60" s="6" t="inlineStr">
        <is>
          <t>你和小诺的声音都能听到，画面声音同步；录屏没有改变麦克风 / 回声表现</t>
        </is>
      </c>
      <c r="G60" s="6" t="inlineStr">
        <is>
          <t>录屏没声音；声画不同步；回声表现变差</t>
        </is>
      </c>
      <c r="H60" s="6" t="inlineStr">
        <is>
          <t>a8aa080</t>
        </is>
      </c>
      <c r="I60" s="7" t="inlineStr"/>
      <c r="J60" s="7" t="inlineStr"/>
      <c r="K60" s="7" t="inlineStr"/>
      <c r="L60" s="7" t="inlineStr"/>
    </row>
    <row r="61">
      <c r="A61" s="6" t="n">
        <v>60</v>
      </c>
      <c r="B61" s="6" t="inlineStr">
        <is>
          <t>8. 演示录制（demo-recording.md）</t>
        </is>
      </c>
      <c r="C61" s="6" t="inlineStr">
        <is>
          <t>Script A：A0–A4（E0）</t>
        </is>
      </c>
      <c r="D61" s="6" t="inlineStr">
        <is>
          <t>停车；不进设置页</t>
        </is>
      </c>
      <c r="E61" s="6" t="inlineStr">
        <is>
          <t>按 §4 依次录：车辆页三个按钮（标注模拟车辆）、音频测试（含 FAIL 也照实）、录制页 6 段、结尾卡</t>
        </is>
      </c>
      <c r="F61" s="6" t="inlineStr">
        <is>
          <t>每段结果如实显示，不剪掉失败</t>
        </is>
      </c>
      <c r="G61" s="6" t="inlineStr">
        <is>
          <t>结果被隐藏或剪掉失败</t>
        </is>
      </c>
      <c r="H61" s="6" t="inlineStr">
        <is>
          <t>a8aa080</t>
        </is>
      </c>
      <c r="I61" s="7" t="inlineStr"/>
      <c r="J61" s="7" t="inlineStr"/>
      <c r="K61" s="7" t="inlineStr"/>
      <c r="L61" s="7" t="inlineStr"/>
    </row>
    <row r="62">
      <c r="A62" s="6" t="n">
        <v>61</v>
      </c>
      <c r="B62" s="6" t="inlineStr">
        <is>
          <t>8. 演示录制（demo-recording.md）</t>
        </is>
      </c>
      <c r="C62" s="6" t="inlineStr">
        <is>
          <t>Script B：B1–B3（E1）</t>
        </is>
      </c>
      <c r="D62" s="6" t="inlineStr">
        <is>
          <t>只在 #12、#13、#17 和 #47 两轮都 PASS 后</t>
        </is>
      </c>
      <c r="E62" s="6" t="inlineStr">
        <is>
          <t>按 §5 一次连续录 B1、B2、B3</t>
        </is>
      </c>
      <c r="F62" s="6" t="inlineStr">
        <is>
          <t>与 #12/#13/#17 相同</t>
        </is>
      </c>
      <c r="G62" s="6" t="inlineStr">
        <is>
          <t>与 #12/#13/#17 结果不一致</t>
        </is>
      </c>
      <c r="H62" s="6" t="inlineStr">
        <is>
          <t>a8aa080</t>
        </is>
      </c>
      <c r="I62" s="7" t="inlineStr"/>
      <c r="J62" s="7" t="inlineStr"/>
      <c r="K62" s="7" t="inlineStr"/>
      <c r="L62" s="7" t="inlineStr"/>
    </row>
    <row r="63">
      <c r="A63" s="6" t="n">
        <v>62</v>
      </c>
      <c r="B63" s="6" t="inlineStr">
        <is>
          <t>8. 演示录制（demo-recording.md）</t>
        </is>
      </c>
      <c r="C63" s="6" t="inlineStr">
        <is>
          <t>Script B：B4–B6</t>
        </is>
      </c>
      <c r="D63" s="6" t="inlineStr">
        <is>
          <t>只在 #29、#33、#35 PASS 后</t>
        </is>
      </c>
      <c r="E63" s="6" t="inlineStr">
        <is>
          <t>按 §5 录 B4–B6；字幕和证据表标明「路线来自高德 Web，车辆移动为模拟」（navigation-flow「iOS: proper navigation」）</t>
        </is>
      </c>
      <c r="F63" s="6" t="inlineStr">
        <is>
          <t>与 #29/#33/#35 相同；不称为真实导航</t>
        </is>
      </c>
      <c r="G63" s="6" t="inlineStr">
        <is>
          <t>字幕没标「模拟」；称为真实导航</t>
        </is>
      </c>
      <c r="H63" s="6" t="inlineStr">
        <is>
          <t>a8aa080</t>
        </is>
      </c>
      <c r="I63" s="7" t="inlineStr"/>
      <c r="J63" s="7" t="inlineStr"/>
      <c r="K63" s="7" t="inlineStr"/>
      <c r="L63" s="7" t="inlineStr"/>
    </row>
    <row r="64">
      <c r="A64" s="6" t="n">
        <v>63</v>
      </c>
      <c r="B64" s="6" t="inlineStr">
        <is>
          <t>8. 演示录制（demo-recording.md）</t>
        </is>
      </c>
      <c r="C64" s="6" t="inlineStr">
        <is>
          <t>REC-001 – REC-009；§7 证据表</t>
        </is>
      </c>
      <c r="D64" s="6" t="inlineStr">
        <is>
          <t>录完</t>
        </is>
      </c>
      <c r="E64" s="6" t="inlineStr">
        <is>
          <t>逐条核对 REC-001..009，填证据表（版本、设备、E 级别、每段结果、原片位置和校验和）</t>
        </is>
      </c>
      <c r="F64" s="6" t="inlineStr">
        <is>
          <t>全部满足；未通过的段落标 NOT_VERIFIED 或不放入</t>
        </is>
      </c>
      <c r="G64" s="6" t="inlineStr">
        <is>
          <t>证据表缺项；未通过段落标了 PASS</t>
        </is>
      </c>
      <c r="H64" s="6" t="inlineStr">
        <is>
          <t>—</t>
        </is>
      </c>
      <c r="I64" s="7" t="inlineStr"/>
      <c r="J64" s="7" t="inlineStr"/>
      <c r="K64" s="7" t="inlineStr"/>
      <c r="L64" s="7" t="inlineStr"/>
    </row>
    <row r="65">
      <c r="A65" s="6" t="n">
        <v>64</v>
      </c>
      <c r="B65" s="6" t="inlineStr">
        <is>
          <t>8. 演示录制（demo-recording.md）</t>
        </is>
      </c>
      <c r="C65" s="6" t="inlineStr">
        <is>
          <t>release-plan 证据包 #2</t>
        </is>
      </c>
      <c r="D65" s="6" t="inlineStr">
        <is>
          <t>已签名的发布版本</t>
        </is>
      </c>
      <c r="E65" s="6" t="inlineStr">
        <is>
          <t>删除重装后冷启动一次，录屏</t>
        </is>
      </c>
      <c r="F65" s="6" t="inlineStr">
        <is>
          <t>能安装、首次启动正常，权限和同意流程可走通</t>
        </is>
      </c>
      <c r="G65" s="6" t="inlineStr">
        <is>
          <t>安装失败；首次启动崩溃；权限 / 同意流程走不通</t>
        </is>
      </c>
      <c r="H65" s="8" t="inlineStr">
        <is>
          <t>新版本</t>
        </is>
      </c>
      <c r="I65" s="7" t="inlineStr"/>
      <c r="J65" s="7" t="inlineStr"/>
      <c r="K65" s="7" t="inlineStr"/>
      <c r="L65" s="7" t="inlineStr"/>
    </row>
    <row r="66">
      <c r="A66" s="6" t="n">
        <v>65</v>
      </c>
      <c r="B66" s="6" t="inlineStr">
        <is>
          <t>8. 演示录制（demo-recording.md）</t>
        </is>
      </c>
      <c r="C66" s="6" t="inlineStr">
        <is>
          <t>release-plan W5（两次 30 分钟）</t>
        </is>
      </c>
      <c r="D66" s="6" t="inlineStr">
        <is>
          <t>已签名的发布版本</t>
        </is>
      </c>
      <c r="E66" s="6" t="inlineStr">
        <is>
          <t>两次各 30 分钟连续使用（语音 + 导航 + 打断）</t>
        </is>
      </c>
      <c r="F66" s="6" t="inlineStr">
        <is>
          <t>无崩溃、无卡死、无 P0/P1 问题</t>
        </is>
      </c>
      <c r="G66" s="6" t="inlineStr">
        <is>
          <t>崩溃；卡死；出现 P0/P1 问题</t>
        </is>
      </c>
      <c r="H66" s="8" t="inlineStr">
        <is>
          <t>新版本</t>
        </is>
      </c>
      <c r="I66" s="7" t="inlineStr"/>
      <c r="J66" s="7" t="inlineStr"/>
      <c r="K66" s="7" t="inlineStr"/>
      <c r="L66" s="7" t="inlineStr"/>
    </row>
  </sheetData>
  <autoFilter ref="A1:L66"/>
  <conditionalFormatting sqref="I2:I6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"NOT_VERIFIED"</formula>
    </cfRule>
    <cfRule type="cellIs" priority="4" operator="equal" dxfId="3">
      <formula>"BLOCKED"</formula>
    </cfRule>
  </conditionalFormatting>
  <dataValidations count="1">
    <dataValidation sqref="I2:I66" showDropDown="0" showInputMessage="0" showErrorMessage="0" allowBlank="1" type="list">
      <formula1>"PASS,FAIL,NOT_VERIFIED,BLOCKED"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2026-10-27T07:01:54Z</dcterms:created>
  <dcterms:modified xmlns:dcterms="http://purl.org/dc/terms/" xmlns:xsi="http://www.w3.org/2001/XMLSchema-instance" xsi:type="dcterms:W3CDTF">2026-10-27T07:01:54Z</dcterms:modified>
</cp:coreProperties>
</file>